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\FA\Documents\GitHub\excel-json\"/>
    </mc:Choice>
  </mc:AlternateContent>
  <xr:revisionPtr revIDLastSave="0" documentId="13_ncr:1_{D8814599-2199-40B9-9425-128721BBA680}" xr6:coauthVersionLast="47" xr6:coauthVersionMax="47" xr10:uidLastSave="{00000000-0000-0000-0000-000000000000}"/>
  <bookViews>
    <workbookView xWindow="-108" yWindow="-108" windowWidth="23256" windowHeight="12456" xr2:uid="{0CB270F7-5657-4953-BDFB-F558949D1B9E}"/>
  </bookViews>
  <sheets>
    <sheet name="URUNLER" sheetId="1" r:id="rId1"/>
    <sheet name="Kullanicilar" sheetId="3" r:id="rId2"/>
    <sheet name="0" sheetId="2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B3" i="3"/>
  <c r="B4" i="3"/>
  <c r="B5" i="3"/>
  <c r="B6" i="3"/>
  <c r="B7" i="3"/>
  <c r="B8" i="3"/>
  <c r="B9" i="3"/>
  <c r="B10" i="3"/>
  <c r="B11" i="3"/>
  <c r="B12" i="3"/>
  <c r="B13" i="3"/>
  <c r="B14" i="3"/>
  <c r="B2" i="3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2" i="1"/>
  <c r="P770" i="2"/>
  <c r="O770" i="2"/>
  <c r="P769" i="2"/>
  <c r="O769" i="2"/>
  <c r="P768" i="2"/>
  <c r="O768" i="2"/>
  <c r="P767" i="2"/>
  <c r="O767" i="2"/>
  <c r="P766" i="2"/>
  <c r="O766" i="2"/>
  <c r="P765" i="2"/>
  <c r="O765" i="2"/>
  <c r="P764" i="2"/>
  <c r="O764" i="2"/>
  <c r="P763" i="2"/>
  <c r="O763" i="2"/>
  <c r="P762" i="2"/>
  <c r="O762" i="2"/>
  <c r="P761" i="2"/>
  <c r="O761" i="2"/>
  <c r="P760" i="2"/>
  <c r="O760" i="2"/>
  <c r="P759" i="2"/>
  <c r="O759" i="2"/>
  <c r="P758" i="2"/>
  <c r="O758" i="2"/>
  <c r="P757" i="2"/>
  <c r="O757" i="2"/>
  <c r="P756" i="2"/>
  <c r="O756" i="2"/>
  <c r="Q755" i="2"/>
  <c r="P755" i="2"/>
  <c r="O755" i="2"/>
  <c r="Q754" i="2"/>
  <c r="P754" i="2"/>
  <c r="O754" i="2"/>
  <c r="Q753" i="2"/>
  <c r="P753" i="2"/>
  <c r="O753" i="2"/>
  <c r="Q752" i="2"/>
  <c r="P752" i="2"/>
  <c r="O752" i="2"/>
  <c r="Q751" i="2"/>
  <c r="P751" i="2"/>
  <c r="O751" i="2"/>
  <c r="Q750" i="2"/>
  <c r="P750" i="2"/>
  <c r="O750" i="2"/>
  <c r="Q749" i="2"/>
  <c r="P749" i="2"/>
  <c r="O749" i="2"/>
  <c r="Q748" i="2"/>
  <c r="P748" i="2"/>
  <c r="O748" i="2"/>
  <c r="Q747" i="2"/>
  <c r="P747" i="2"/>
  <c r="O747" i="2"/>
  <c r="Q746" i="2"/>
  <c r="P746" i="2"/>
  <c r="O746" i="2"/>
  <c r="Q745" i="2"/>
  <c r="P745" i="2"/>
  <c r="O745" i="2"/>
  <c r="Q744" i="2"/>
  <c r="P744" i="2"/>
  <c r="O744" i="2"/>
  <c r="Q743" i="2"/>
  <c r="P743" i="2"/>
  <c r="O743" i="2"/>
  <c r="Q742" i="2"/>
  <c r="P742" i="2"/>
  <c r="O742" i="2"/>
  <c r="Q741" i="2"/>
  <c r="P741" i="2"/>
  <c r="O741" i="2"/>
  <c r="Q740" i="2"/>
  <c r="P740" i="2"/>
  <c r="O740" i="2"/>
  <c r="Q739" i="2"/>
  <c r="P739" i="2"/>
  <c r="O739" i="2"/>
  <c r="Q738" i="2"/>
  <c r="P738" i="2"/>
  <c r="O738" i="2"/>
  <c r="Q737" i="2"/>
  <c r="P737" i="2"/>
  <c r="O737" i="2"/>
  <c r="Q736" i="2"/>
  <c r="P736" i="2"/>
  <c r="O736" i="2"/>
  <c r="Q735" i="2"/>
  <c r="P735" i="2"/>
  <c r="O735" i="2"/>
  <c r="Q734" i="2"/>
  <c r="P734" i="2"/>
  <c r="O734" i="2"/>
  <c r="Q733" i="2"/>
  <c r="P733" i="2"/>
  <c r="O733" i="2"/>
  <c r="Q732" i="2"/>
  <c r="P732" i="2"/>
  <c r="O732" i="2"/>
  <c r="Q731" i="2"/>
  <c r="P731" i="2"/>
  <c r="O731" i="2"/>
  <c r="Q730" i="2"/>
  <c r="P730" i="2"/>
  <c r="O730" i="2"/>
  <c r="Q729" i="2"/>
  <c r="P729" i="2"/>
  <c r="O729" i="2"/>
  <c r="Q728" i="2"/>
  <c r="P728" i="2"/>
  <c r="O728" i="2"/>
  <c r="Q727" i="2"/>
  <c r="P727" i="2"/>
  <c r="O727" i="2"/>
  <c r="Q726" i="2"/>
  <c r="P726" i="2"/>
  <c r="O726" i="2"/>
  <c r="Q725" i="2"/>
  <c r="P725" i="2"/>
  <c r="O725" i="2"/>
  <c r="Q724" i="2"/>
  <c r="P724" i="2"/>
  <c r="O724" i="2"/>
  <c r="Q723" i="2"/>
  <c r="P723" i="2"/>
  <c r="O723" i="2"/>
  <c r="Q722" i="2"/>
  <c r="P722" i="2"/>
  <c r="O722" i="2"/>
  <c r="Q721" i="2"/>
  <c r="P721" i="2"/>
  <c r="O721" i="2"/>
  <c r="Q720" i="2"/>
  <c r="P720" i="2"/>
  <c r="O720" i="2"/>
  <c r="Q719" i="2"/>
  <c r="P719" i="2"/>
  <c r="O719" i="2"/>
  <c r="Q718" i="2"/>
  <c r="P718" i="2"/>
  <c r="O718" i="2"/>
  <c r="Q717" i="2"/>
  <c r="P717" i="2"/>
  <c r="O717" i="2"/>
  <c r="Q716" i="2"/>
  <c r="P716" i="2"/>
  <c r="O716" i="2"/>
  <c r="Q715" i="2"/>
  <c r="P715" i="2"/>
  <c r="O715" i="2"/>
  <c r="Q714" i="2"/>
  <c r="P714" i="2"/>
  <c r="O714" i="2"/>
  <c r="Q713" i="2"/>
  <c r="P713" i="2"/>
  <c r="O713" i="2"/>
  <c r="Q712" i="2"/>
  <c r="P712" i="2"/>
  <c r="O712" i="2"/>
  <c r="Q711" i="2"/>
  <c r="P711" i="2"/>
  <c r="O711" i="2"/>
  <c r="Q710" i="2"/>
  <c r="P710" i="2"/>
  <c r="O710" i="2"/>
  <c r="Q709" i="2"/>
  <c r="P709" i="2"/>
  <c r="O709" i="2"/>
  <c r="Q708" i="2"/>
  <c r="P708" i="2"/>
  <c r="O708" i="2"/>
  <c r="Q707" i="2"/>
  <c r="P707" i="2"/>
  <c r="O707" i="2"/>
  <c r="Q706" i="2"/>
  <c r="P706" i="2"/>
  <c r="O706" i="2"/>
  <c r="Q705" i="2"/>
  <c r="P705" i="2"/>
  <c r="O705" i="2"/>
  <c r="Q704" i="2"/>
  <c r="P704" i="2"/>
  <c r="O704" i="2"/>
  <c r="Q703" i="2"/>
  <c r="P703" i="2"/>
  <c r="O703" i="2"/>
  <c r="Q702" i="2"/>
  <c r="P702" i="2"/>
  <c r="O702" i="2"/>
  <c r="Q701" i="2"/>
  <c r="P701" i="2"/>
  <c r="O701" i="2"/>
  <c r="Q700" i="2"/>
  <c r="P700" i="2"/>
  <c r="O700" i="2"/>
  <c r="Q699" i="2"/>
  <c r="P699" i="2"/>
  <c r="O699" i="2"/>
  <c r="Q698" i="2"/>
  <c r="P698" i="2"/>
  <c r="O698" i="2"/>
  <c r="Q697" i="2"/>
  <c r="P697" i="2"/>
  <c r="O697" i="2"/>
  <c r="Q696" i="2"/>
  <c r="P696" i="2"/>
  <c r="O696" i="2"/>
  <c r="Q695" i="2"/>
  <c r="P695" i="2"/>
  <c r="O695" i="2"/>
  <c r="Q694" i="2"/>
  <c r="P694" i="2"/>
  <c r="O694" i="2"/>
  <c r="Q693" i="2"/>
  <c r="P693" i="2"/>
  <c r="O693" i="2"/>
  <c r="Q692" i="2"/>
  <c r="P692" i="2"/>
  <c r="O692" i="2"/>
  <c r="Q691" i="2"/>
  <c r="P691" i="2"/>
  <c r="O691" i="2"/>
  <c r="Q690" i="2"/>
  <c r="P690" i="2"/>
  <c r="O690" i="2"/>
  <c r="Q689" i="2"/>
  <c r="P689" i="2"/>
  <c r="O689" i="2"/>
  <c r="Q688" i="2"/>
  <c r="P688" i="2"/>
  <c r="O688" i="2"/>
  <c r="Q687" i="2"/>
  <c r="P687" i="2"/>
  <c r="O687" i="2"/>
  <c r="Q686" i="2"/>
  <c r="P686" i="2"/>
  <c r="O686" i="2"/>
  <c r="Q685" i="2"/>
  <c r="P685" i="2"/>
  <c r="O685" i="2"/>
  <c r="Q684" i="2"/>
  <c r="P684" i="2"/>
  <c r="O684" i="2"/>
  <c r="Q683" i="2"/>
  <c r="P683" i="2"/>
  <c r="O683" i="2"/>
  <c r="Q682" i="2"/>
  <c r="P682" i="2"/>
  <c r="O682" i="2"/>
  <c r="Q681" i="2"/>
  <c r="P681" i="2"/>
  <c r="O681" i="2"/>
  <c r="Q680" i="2"/>
  <c r="P680" i="2"/>
  <c r="O680" i="2"/>
  <c r="Q679" i="2"/>
  <c r="P679" i="2"/>
  <c r="O679" i="2"/>
  <c r="Q678" i="2"/>
  <c r="P678" i="2"/>
  <c r="O678" i="2"/>
  <c r="Q677" i="2"/>
  <c r="P677" i="2"/>
  <c r="O677" i="2"/>
  <c r="Q676" i="2"/>
  <c r="P676" i="2"/>
  <c r="O676" i="2"/>
  <c r="Q675" i="2"/>
  <c r="P675" i="2"/>
  <c r="O675" i="2"/>
  <c r="Q674" i="2"/>
  <c r="P674" i="2"/>
  <c r="O674" i="2"/>
  <c r="Q673" i="2"/>
  <c r="P673" i="2"/>
  <c r="O673" i="2"/>
  <c r="Q672" i="2"/>
  <c r="P672" i="2"/>
  <c r="O672" i="2"/>
  <c r="Q671" i="2"/>
  <c r="P671" i="2"/>
  <c r="O671" i="2"/>
  <c r="Q670" i="2"/>
  <c r="P670" i="2"/>
  <c r="O670" i="2"/>
  <c r="Q669" i="2"/>
  <c r="P669" i="2"/>
  <c r="O669" i="2"/>
  <c r="Q668" i="2"/>
  <c r="P668" i="2"/>
  <c r="O668" i="2"/>
  <c r="Q667" i="2"/>
  <c r="P667" i="2"/>
  <c r="O667" i="2"/>
  <c r="Q666" i="2"/>
  <c r="P666" i="2"/>
  <c r="O666" i="2"/>
  <c r="Q665" i="2"/>
  <c r="P665" i="2"/>
  <c r="O665" i="2"/>
  <c r="Q664" i="2"/>
  <c r="P664" i="2"/>
  <c r="O664" i="2"/>
  <c r="Q663" i="2"/>
  <c r="P663" i="2"/>
  <c r="O663" i="2"/>
  <c r="Q662" i="2"/>
  <c r="P662" i="2"/>
  <c r="O662" i="2"/>
  <c r="Q661" i="2"/>
  <c r="P661" i="2"/>
  <c r="O661" i="2"/>
  <c r="Q660" i="2"/>
  <c r="P660" i="2"/>
  <c r="O660" i="2"/>
  <c r="Q659" i="2"/>
  <c r="P659" i="2"/>
  <c r="O659" i="2"/>
  <c r="Q658" i="2"/>
  <c r="P658" i="2"/>
  <c r="O658" i="2"/>
  <c r="Q657" i="2"/>
  <c r="P657" i="2"/>
  <c r="O657" i="2"/>
  <c r="Q656" i="2"/>
  <c r="P656" i="2"/>
  <c r="O656" i="2"/>
  <c r="Q655" i="2"/>
  <c r="P655" i="2"/>
  <c r="O655" i="2"/>
  <c r="Q654" i="2"/>
  <c r="P654" i="2"/>
  <c r="O654" i="2"/>
  <c r="Q653" i="2"/>
  <c r="P653" i="2"/>
  <c r="O653" i="2"/>
  <c r="Q652" i="2"/>
  <c r="P652" i="2"/>
  <c r="O652" i="2"/>
  <c r="Q651" i="2"/>
  <c r="P651" i="2"/>
  <c r="O651" i="2"/>
  <c r="Q650" i="2"/>
  <c r="P650" i="2"/>
  <c r="O650" i="2"/>
  <c r="Q649" i="2"/>
  <c r="P649" i="2"/>
  <c r="O649" i="2"/>
  <c r="Q648" i="2"/>
  <c r="P648" i="2"/>
  <c r="O648" i="2"/>
  <c r="Q647" i="2"/>
  <c r="P647" i="2"/>
  <c r="O647" i="2"/>
  <c r="Q646" i="2"/>
  <c r="P646" i="2"/>
  <c r="O646" i="2"/>
  <c r="Q645" i="2"/>
  <c r="P645" i="2"/>
  <c r="O645" i="2"/>
  <c r="Q644" i="2"/>
  <c r="P644" i="2"/>
  <c r="O644" i="2"/>
  <c r="Q643" i="2"/>
  <c r="P643" i="2"/>
  <c r="O643" i="2"/>
  <c r="Q642" i="2"/>
  <c r="P642" i="2"/>
  <c r="O642" i="2"/>
  <c r="Q641" i="2"/>
  <c r="P641" i="2"/>
  <c r="O641" i="2"/>
  <c r="Q640" i="2"/>
  <c r="P640" i="2"/>
  <c r="O640" i="2"/>
  <c r="Q639" i="2"/>
  <c r="P639" i="2"/>
  <c r="O639" i="2"/>
  <c r="Q638" i="2"/>
  <c r="P638" i="2"/>
  <c r="O638" i="2"/>
  <c r="Q637" i="2"/>
  <c r="P637" i="2"/>
  <c r="O637" i="2"/>
  <c r="Q636" i="2"/>
  <c r="P636" i="2"/>
  <c r="O636" i="2"/>
  <c r="Q635" i="2"/>
  <c r="P635" i="2"/>
  <c r="O635" i="2"/>
  <c r="Q634" i="2"/>
  <c r="P634" i="2"/>
  <c r="O634" i="2"/>
  <c r="Q633" i="2"/>
  <c r="P633" i="2"/>
  <c r="O633" i="2"/>
  <c r="Q632" i="2"/>
  <c r="P632" i="2"/>
  <c r="O632" i="2"/>
  <c r="Q631" i="2"/>
  <c r="P631" i="2"/>
  <c r="O631" i="2"/>
  <c r="Q630" i="2"/>
  <c r="P630" i="2"/>
  <c r="O630" i="2"/>
  <c r="Q629" i="2"/>
  <c r="P629" i="2"/>
  <c r="O629" i="2"/>
  <c r="Q628" i="2"/>
  <c r="P628" i="2"/>
  <c r="O628" i="2"/>
  <c r="Q627" i="2"/>
  <c r="P627" i="2"/>
  <c r="O627" i="2"/>
  <c r="Q626" i="2"/>
  <c r="P626" i="2"/>
  <c r="O626" i="2"/>
  <c r="Q625" i="2"/>
  <c r="P625" i="2"/>
  <c r="O625" i="2"/>
  <c r="Q624" i="2"/>
  <c r="P624" i="2"/>
  <c r="O624" i="2"/>
  <c r="Q623" i="2"/>
  <c r="P623" i="2"/>
  <c r="O623" i="2"/>
  <c r="Q622" i="2"/>
  <c r="P622" i="2"/>
  <c r="O622" i="2"/>
  <c r="Q621" i="2"/>
  <c r="P621" i="2"/>
  <c r="O621" i="2"/>
  <c r="Q620" i="2"/>
  <c r="P620" i="2"/>
  <c r="O620" i="2"/>
  <c r="Q619" i="2"/>
  <c r="P619" i="2"/>
  <c r="O619" i="2"/>
  <c r="Q618" i="2"/>
  <c r="P618" i="2"/>
  <c r="O618" i="2"/>
  <c r="Q617" i="2"/>
  <c r="P617" i="2"/>
  <c r="O617" i="2"/>
  <c r="Q616" i="2"/>
  <c r="P616" i="2"/>
  <c r="O616" i="2"/>
  <c r="Q615" i="2"/>
  <c r="P615" i="2"/>
  <c r="O615" i="2"/>
  <c r="Q614" i="2"/>
  <c r="P614" i="2"/>
  <c r="O614" i="2"/>
  <c r="Q613" i="2"/>
  <c r="P613" i="2"/>
  <c r="O613" i="2"/>
  <c r="Q612" i="2"/>
  <c r="P612" i="2"/>
  <c r="O612" i="2"/>
  <c r="Q611" i="2"/>
  <c r="P611" i="2"/>
  <c r="O611" i="2"/>
  <c r="Q610" i="2"/>
  <c r="P610" i="2"/>
  <c r="O610" i="2"/>
  <c r="Q609" i="2"/>
  <c r="P609" i="2"/>
  <c r="O609" i="2"/>
  <c r="Q608" i="2"/>
  <c r="P608" i="2"/>
  <c r="O608" i="2"/>
  <c r="Q607" i="2"/>
  <c r="P607" i="2"/>
  <c r="O607" i="2"/>
  <c r="Q606" i="2"/>
  <c r="P606" i="2"/>
  <c r="O606" i="2"/>
  <c r="Q605" i="2"/>
  <c r="P605" i="2"/>
  <c r="O605" i="2"/>
  <c r="Q604" i="2"/>
  <c r="P604" i="2"/>
  <c r="O604" i="2"/>
  <c r="Q603" i="2"/>
  <c r="P603" i="2"/>
  <c r="O603" i="2"/>
  <c r="Q602" i="2"/>
  <c r="P602" i="2"/>
  <c r="O602" i="2"/>
  <c r="Q601" i="2"/>
  <c r="P601" i="2"/>
  <c r="O601" i="2"/>
  <c r="Q600" i="2"/>
  <c r="P600" i="2"/>
  <c r="O600" i="2"/>
  <c r="Q599" i="2"/>
  <c r="P599" i="2"/>
  <c r="O599" i="2"/>
  <c r="Q598" i="2"/>
  <c r="P598" i="2"/>
  <c r="O598" i="2"/>
  <c r="Q597" i="2"/>
  <c r="P597" i="2"/>
  <c r="O597" i="2"/>
  <c r="Q596" i="2"/>
  <c r="P596" i="2"/>
  <c r="O596" i="2"/>
  <c r="Q595" i="2"/>
  <c r="P595" i="2"/>
  <c r="O595" i="2"/>
  <c r="Q594" i="2"/>
  <c r="P594" i="2"/>
  <c r="O594" i="2"/>
  <c r="Q593" i="2"/>
  <c r="P593" i="2"/>
  <c r="O593" i="2"/>
  <c r="Q592" i="2"/>
  <c r="P592" i="2"/>
  <c r="O592" i="2"/>
  <c r="Q591" i="2"/>
  <c r="P591" i="2"/>
  <c r="O591" i="2"/>
  <c r="Q590" i="2"/>
  <c r="P590" i="2"/>
  <c r="O590" i="2"/>
  <c r="Q589" i="2"/>
  <c r="P589" i="2"/>
  <c r="O589" i="2"/>
  <c r="Q588" i="2"/>
  <c r="P588" i="2"/>
  <c r="O588" i="2"/>
  <c r="Q587" i="2"/>
  <c r="P587" i="2"/>
  <c r="O587" i="2"/>
  <c r="Q586" i="2"/>
  <c r="P586" i="2"/>
  <c r="O586" i="2"/>
  <c r="Q585" i="2"/>
  <c r="P585" i="2"/>
  <c r="O585" i="2"/>
  <c r="Q584" i="2"/>
  <c r="P584" i="2"/>
  <c r="O584" i="2"/>
  <c r="Q583" i="2"/>
  <c r="P583" i="2"/>
  <c r="O583" i="2"/>
  <c r="Q582" i="2"/>
  <c r="P582" i="2"/>
  <c r="O582" i="2"/>
  <c r="Q581" i="2"/>
  <c r="P581" i="2"/>
  <c r="O581" i="2"/>
  <c r="Q580" i="2"/>
  <c r="P580" i="2"/>
  <c r="O580" i="2"/>
  <c r="Q579" i="2"/>
  <c r="P579" i="2"/>
  <c r="O579" i="2"/>
  <c r="Q578" i="2"/>
  <c r="P578" i="2"/>
  <c r="O578" i="2"/>
  <c r="Q577" i="2"/>
  <c r="P577" i="2"/>
  <c r="O577" i="2"/>
  <c r="Q576" i="2"/>
  <c r="P576" i="2"/>
  <c r="O576" i="2"/>
  <c r="Q575" i="2"/>
  <c r="P575" i="2"/>
  <c r="O575" i="2"/>
  <c r="Q574" i="2"/>
  <c r="P574" i="2"/>
  <c r="O574" i="2"/>
  <c r="Q573" i="2"/>
  <c r="P573" i="2"/>
  <c r="O573" i="2"/>
  <c r="Q572" i="2"/>
  <c r="P572" i="2"/>
  <c r="O572" i="2"/>
  <c r="Q571" i="2"/>
  <c r="P571" i="2"/>
  <c r="O571" i="2"/>
  <c r="Q570" i="2"/>
  <c r="P570" i="2"/>
  <c r="O570" i="2"/>
  <c r="Q569" i="2"/>
  <c r="P569" i="2"/>
  <c r="O569" i="2"/>
  <c r="Q568" i="2"/>
  <c r="P568" i="2"/>
  <c r="O568" i="2"/>
  <c r="Q567" i="2"/>
  <c r="P567" i="2"/>
  <c r="O567" i="2"/>
  <c r="Q566" i="2"/>
  <c r="P566" i="2"/>
  <c r="O566" i="2"/>
  <c r="Q565" i="2"/>
  <c r="P565" i="2"/>
  <c r="O565" i="2"/>
  <c r="Q564" i="2"/>
  <c r="P564" i="2"/>
  <c r="O564" i="2"/>
  <c r="Q563" i="2"/>
  <c r="P563" i="2"/>
  <c r="O563" i="2"/>
  <c r="Q562" i="2"/>
  <c r="P562" i="2"/>
  <c r="O562" i="2"/>
  <c r="Q561" i="2"/>
  <c r="P561" i="2"/>
  <c r="O561" i="2"/>
  <c r="Q560" i="2"/>
  <c r="P560" i="2"/>
  <c r="O560" i="2"/>
  <c r="Q559" i="2"/>
  <c r="P559" i="2"/>
  <c r="O559" i="2"/>
  <c r="Q558" i="2"/>
  <c r="P558" i="2"/>
  <c r="O558" i="2"/>
  <c r="Q557" i="2"/>
  <c r="P557" i="2"/>
  <c r="O557" i="2"/>
  <c r="Q556" i="2"/>
  <c r="P556" i="2"/>
  <c r="O556" i="2"/>
  <c r="Q555" i="2"/>
  <c r="P555" i="2"/>
  <c r="O555" i="2"/>
  <c r="Q554" i="2"/>
  <c r="P554" i="2"/>
  <c r="O554" i="2"/>
  <c r="Q553" i="2"/>
  <c r="P553" i="2"/>
  <c r="O553" i="2"/>
  <c r="Q552" i="2"/>
  <c r="P552" i="2"/>
  <c r="O552" i="2"/>
  <c r="Q551" i="2"/>
  <c r="P551" i="2"/>
  <c r="O551" i="2"/>
  <c r="Q550" i="2"/>
  <c r="P550" i="2"/>
  <c r="O550" i="2"/>
  <c r="Q549" i="2"/>
  <c r="P549" i="2"/>
  <c r="O549" i="2"/>
  <c r="Q548" i="2"/>
  <c r="P548" i="2"/>
  <c r="O548" i="2"/>
  <c r="Q547" i="2"/>
  <c r="P547" i="2"/>
  <c r="O547" i="2"/>
  <c r="Q546" i="2"/>
  <c r="P546" i="2"/>
  <c r="O546" i="2"/>
  <c r="Q545" i="2"/>
  <c r="P545" i="2"/>
  <c r="O545" i="2"/>
  <c r="Q544" i="2"/>
  <c r="P544" i="2"/>
  <c r="O544" i="2"/>
  <c r="Q543" i="2"/>
  <c r="P543" i="2"/>
  <c r="O543" i="2"/>
  <c r="Q542" i="2"/>
  <c r="P542" i="2"/>
  <c r="O542" i="2"/>
  <c r="Q541" i="2"/>
  <c r="P541" i="2"/>
  <c r="O541" i="2"/>
  <c r="Q540" i="2"/>
  <c r="P540" i="2"/>
  <c r="O540" i="2"/>
  <c r="Q539" i="2"/>
  <c r="P539" i="2"/>
  <c r="O539" i="2"/>
  <c r="Q538" i="2"/>
  <c r="P538" i="2"/>
  <c r="O538" i="2"/>
  <c r="Q537" i="2"/>
  <c r="P537" i="2"/>
  <c r="O537" i="2"/>
  <c r="Q536" i="2"/>
  <c r="P536" i="2"/>
  <c r="O536" i="2"/>
  <c r="Q535" i="2"/>
  <c r="P535" i="2"/>
  <c r="O535" i="2"/>
  <c r="Q534" i="2"/>
  <c r="P534" i="2"/>
  <c r="O534" i="2"/>
  <c r="Q533" i="2"/>
  <c r="P533" i="2"/>
  <c r="O533" i="2"/>
  <c r="Q532" i="2"/>
  <c r="P532" i="2"/>
  <c r="O532" i="2"/>
  <c r="Q531" i="2"/>
  <c r="P531" i="2"/>
  <c r="O531" i="2"/>
  <c r="Q530" i="2"/>
  <c r="P530" i="2"/>
  <c r="O530" i="2"/>
  <c r="Q529" i="2"/>
  <c r="P529" i="2"/>
  <c r="O529" i="2"/>
  <c r="Q528" i="2"/>
  <c r="P528" i="2"/>
  <c r="O528" i="2"/>
  <c r="Q527" i="2"/>
  <c r="P527" i="2"/>
  <c r="O527" i="2"/>
  <c r="Q526" i="2"/>
  <c r="P526" i="2"/>
  <c r="O526" i="2"/>
  <c r="Q525" i="2"/>
  <c r="P525" i="2"/>
  <c r="O525" i="2"/>
  <c r="Q524" i="2"/>
  <c r="P524" i="2"/>
  <c r="O524" i="2"/>
  <c r="Q523" i="2"/>
  <c r="P523" i="2"/>
  <c r="O523" i="2"/>
  <c r="Q522" i="2"/>
  <c r="P522" i="2"/>
  <c r="O522" i="2"/>
  <c r="Q521" i="2"/>
  <c r="P521" i="2"/>
  <c r="O521" i="2"/>
  <c r="Q520" i="2"/>
  <c r="P520" i="2"/>
  <c r="O520" i="2"/>
  <c r="Q519" i="2"/>
  <c r="P519" i="2"/>
  <c r="O519" i="2"/>
  <c r="Q518" i="2"/>
  <c r="P518" i="2"/>
  <c r="O518" i="2"/>
  <c r="Q517" i="2"/>
  <c r="P517" i="2"/>
  <c r="O517" i="2"/>
  <c r="Q516" i="2"/>
  <c r="P516" i="2"/>
  <c r="O516" i="2"/>
  <c r="Q515" i="2"/>
  <c r="P515" i="2"/>
  <c r="O515" i="2"/>
  <c r="Q514" i="2"/>
  <c r="P514" i="2"/>
  <c r="O514" i="2"/>
  <c r="Q513" i="2"/>
  <c r="P513" i="2"/>
  <c r="O513" i="2"/>
  <c r="Q512" i="2"/>
  <c r="P512" i="2"/>
  <c r="O512" i="2"/>
  <c r="Q511" i="2"/>
  <c r="P511" i="2"/>
  <c r="O511" i="2"/>
  <c r="Q510" i="2"/>
  <c r="P510" i="2"/>
  <c r="O510" i="2"/>
  <c r="Q509" i="2"/>
  <c r="P509" i="2"/>
  <c r="O509" i="2"/>
  <c r="Q508" i="2"/>
  <c r="P508" i="2"/>
  <c r="O508" i="2"/>
  <c r="Q507" i="2"/>
  <c r="P507" i="2"/>
  <c r="O507" i="2"/>
  <c r="Q506" i="2"/>
  <c r="P506" i="2"/>
  <c r="O506" i="2"/>
  <c r="Q505" i="2"/>
  <c r="P505" i="2"/>
  <c r="O505" i="2"/>
  <c r="Q504" i="2"/>
  <c r="P504" i="2"/>
  <c r="O504" i="2"/>
  <c r="Q503" i="2"/>
  <c r="P503" i="2"/>
  <c r="O503" i="2"/>
  <c r="Q502" i="2"/>
  <c r="P502" i="2"/>
  <c r="O502" i="2"/>
  <c r="Q501" i="2"/>
  <c r="P501" i="2"/>
  <c r="O501" i="2"/>
  <c r="Q500" i="2"/>
  <c r="P500" i="2"/>
  <c r="O500" i="2"/>
  <c r="Q499" i="2"/>
  <c r="P499" i="2"/>
  <c r="O499" i="2"/>
  <c r="Q498" i="2"/>
  <c r="P498" i="2"/>
  <c r="O498" i="2"/>
  <c r="Q497" i="2"/>
  <c r="P497" i="2"/>
  <c r="O497" i="2"/>
  <c r="Q496" i="2"/>
  <c r="P496" i="2"/>
  <c r="O496" i="2"/>
  <c r="Q495" i="2"/>
  <c r="P495" i="2"/>
  <c r="O495" i="2"/>
  <c r="Q494" i="2"/>
  <c r="P494" i="2"/>
  <c r="O494" i="2"/>
  <c r="Q493" i="2"/>
  <c r="P493" i="2"/>
  <c r="O493" i="2"/>
  <c r="Q492" i="2"/>
  <c r="P492" i="2"/>
  <c r="O492" i="2"/>
  <c r="Q491" i="2"/>
  <c r="P491" i="2"/>
  <c r="O491" i="2"/>
  <c r="Q490" i="2"/>
  <c r="P490" i="2"/>
  <c r="O490" i="2"/>
  <c r="Q489" i="2"/>
  <c r="P489" i="2"/>
  <c r="O489" i="2"/>
  <c r="Q488" i="2"/>
  <c r="P488" i="2"/>
  <c r="O488" i="2"/>
  <c r="Q487" i="2"/>
  <c r="P487" i="2"/>
  <c r="O487" i="2"/>
  <c r="Q486" i="2"/>
  <c r="P486" i="2"/>
  <c r="O486" i="2"/>
  <c r="Q485" i="2"/>
  <c r="P485" i="2"/>
  <c r="O485" i="2"/>
  <c r="Q484" i="2"/>
  <c r="P484" i="2"/>
  <c r="O484" i="2"/>
  <c r="Q483" i="2"/>
  <c r="P483" i="2"/>
  <c r="O483" i="2"/>
  <c r="Q482" i="2"/>
  <c r="P482" i="2"/>
  <c r="O482" i="2"/>
  <c r="Q481" i="2"/>
  <c r="P481" i="2"/>
  <c r="O481" i="2"/>
  <c r="Q480" i="2"/>
  <c r="P480" i="2"/>
  <c r="O480" i="2"/>
  <c r="Q479" i="2"/>
  <c r="P479" i="2"/>
  <c r="O479" i="2"/>
  <c r="Q478" i="2"/>
  <c r="P478" i="2"/>
  <c r="O478" i="2"/>
  <c r="Q477" i="2"/>
  <c r="P477" i="2"/>
  <c r="O477" i="2"/>
  <c r="Q476" i="2"/>
  <c r="P476" i="2"/>
  <c r="O476" i="2"/>
  <c r="Q475" i="2"/>
  <c r="P475" i="2"/>
  <c r="O475" i="2"/>
  <c r="Q474" i="2"/>
  <c r="P474" i="2"/>
  <c r="O474" i="2"/>
  <c r="Q473" i="2"/>
  <c r="P473" i="2"/>
  <c r="O473" i="2"/>
  <c r="Q472" i="2"/>
  <c r="P472" i="2"/>
  <c r="O472" i="2"/>
  <c r="Q471" i="2"/>
  <c r="P471" i="2"/>
  <c r="O471" i="2"/>
  <c r="Q470" i="2"/>
  <c r="P470" i="2"/>
  <c r="O470" i="2"/>
  <c r="Q469" i="2"/>
  <c r="P469" i="2"/>
  <c r="O469" i="2"/>
  <c r="Q468" i="2"/>
  <c r="P468" i="2"/>
  <c r="O468" i="2"/>
  <c r="Q467" i="2"/>
  <c r="P467" i="2"/>
  <c r="O467" i="2"/>
  <c r="Q466" i="2"/>
  <c r="P466" i="2"/>
  <c r="O466" i="2"/>
  <c r="Q465" i="2"/>
  <c r="P465" i="2"/>
  <c r="O465" i="2"/>
  <c r="Q464" i="2"/>
  <c r="P464" i="2"/>
  <c r="O464" i="2"/>
  <c r="Q463" i="2"/>
  <c r="P463" i="2"/>
  <c r="O463" i="2"/>
  <c r="Q462" i="2"/>
  <c r="P462" i="2"/>
  <c r="O462" i="2"/>
  <c r="Q461" i="2"/>
  <c r="P461" i="2"/>
  <c r="O461" i="2"/>
  <c r="Q460" i="2"/>
  <c r="P460" i="2"/>
  <c r="O460" i="2"/>
  <c r="Q459" i="2"/>
  <c r="P459" i="2"/>
  <c r="O459" i="2"/>
  <c r="Q458" i="2"/>
  <c r="P458" i="2"/>
  <c r="O458" i="2"/>
  <c r="Q457" i="2"/>
  <c r="P457" i="2"/>
  <c r="O457" i="2"/>
  <c r="Q456" i="2"/>
  <c r="P456" i="2"/>
  <c r="O456" i="2"/>
  <c r="Q455" i="2"/>
  <c r="P455" i="2"/>
  <c r="O455" i="2"/>
  <c r="Q454" i="2"/>
  <c r="P454" i="2"/>
  <c r="O454" i="2"/>
  <c r="Q453" i="2"/>
  <c r="P453" i="2"/>
  <c r="O453" i="2"/>
  <c r="Q452" i="2"/>
  <c r="P452" i="2"/>
  <c r="O452" i="2"/>
  <c r="Q451" i="2"/>
  <c r="P451" i="2"/>
  <c r="O451" i="2"/>
  <c r="Q450" i="2"/>
  <c r="P450" i="2"/>
  <c r="O450" i="2"/>
  <c r="Q449" i="2"/>
  <c r="P449" i="2"/>
  <c r="O449" i="2"/>
  <c r="Q448" i="2"/>
  <c r="P448" i="2"/>
  <c r="O448" i="2"/>
  <c r="Q447" i="2"/>
  <c r="P447" i="2"/>
  <c r="O447" i="2"/>
  <c r="Q446" i="2"/>
  <c r="P446" i="2"/>
  <c r="O446" i="2"/>
  <c r="Q445" i="2"/>
  <c r="P445" i="2"/>
  <c r="O445" i="2"/>
  <c r="Q444" i="2"/>
  <c r="P444" i="2"/>
  <c r="O444" i="2"/>
  <c r="Q443" i="2"/>
  <c r="P443" i="2"/>
  <c r="O443" i="2"/>
  <c r="Q442" i="2"/>
  <c r="P442" i="2"/>
  <c r="O442" i="2"/>
  <c r="Q441" i="2"/>
  <c r="P441" i="2"/>
  <c r="O441" i="2"/>
  <c r="Q440" i="2"/>
  <c r="P440" i="2"/>
  <c r="O440" i="2"/>
  <c r="Q439" i="2"/>
  <c r="P439" i="2"/>
  <c r="O439" i="2"/>
  <c r="Q438" i="2"/>
  <c r="P438" i="2"/>
  <c r="O438" i="2"/>
  <c r="Q437" i="2"/>
  <c r="P437" i="2"/>
  <c r="O437" i="2"/>
  <c r="Q436" i="2"/>
  <c r="P436" i="2"/>
  <c r="O436" i="2"/>
  <c r="Q435" i="2"/>
  <c r="P435" i="2"/>
  <c r="O435" i="2"/>
  <c r="Q434" i="2"/>
  <c r="P434" i="2"/>
  <c r="O434" i="2"/>
  <c r="Q433" i="2"/>
  <c r="P433" i="2"/>
  <c r="O433" i="2"/>
  <c r="Q432" i="2"/>
  <c r="P432" i="2"/>
  <c r="O432" i="2"/>
  <c r="Q431" i="2"/>
  <c r="P431" i="2"/>
  <c r="O431" i="2"/>
  <c r="Q430" i="2"/>
  <c r="P430" i="2"/>
  <c r="O430" i="2"/>
  <c r="Q429" i="2"/>
  <c r="P429" i="2"/>
  <c r="O429" i="2"/>
  <c r="Q428" i="2"/>
  <c r="P428" i="2"/>
  <c r="O428" i="2"/>
  <c r="Q427" i="2"/>
  <c r="P427" i="2"/>
  <c r="O427" i="2"/>
  <c r="Q426" i="2"/>
  <c r="P426" i="2"/>
  <c r="O426" i="2"/>
  <c r="Q425" i="2"/>
  <c r="P425" i="2"/>
  <c r="O425" i="2"/>
  <c r="Q424" i="2"/>
  <c r="P424" i="2"/>
  <c r="O424" i="2"/>
  <c r="Q423" i="2"/>
  <c r="P423" i="2"/>
  <c r="O423" i="2"/>
  <c r="Q422" i="2"/>
  <c r="P422" i="2"/>
  <c r="O422" i="2"/>
  <c r="Q421" i="2"/>
  <c r="P421" i="2"/>
  <c r="O421" i="2"/>
  <c r="Q420" i="2"/>
  <c r="P420" i="2"/>
  <c r="O420" i="2"/>
  <c r="Q419" i="2"/>
  <c r="P419" i="2"/>
  <c r="O419" i="2"/>
  <c r="Q418" i="2"/>
  <c r="P418" i="2"/>
  <c r="O418" i="2"/>
  <c r="Q417" i="2"/>
  <c r="P417" i="2"/>
  <c r="O417" i="2"/>
  <c r="Q416" i="2"/>
  <c r="P416" i="2"/>
  <c r="O416" i="2"/>
  <c r="Q415" i="2"/>
  <c r="P415" i="2"/>
  <c r="O415" i="2"/>
  <c r="Q414" i="2"/>
  <c r="P414" i="2"/>
  <c r="O414" i="2"/>
  <c r="Q413" i="2"/>
  <c r="P413" i="2"/>
  <c r="O413" i="2"/>
  <c r="Q412" i="2"/>
  <c r="P412" i="2"/>
  <c r="O412" i="2"/>
  <c r="Q411" i="2"/>
  <c r="P411" i="2"/>
  <c r="O411" i="2"/>
  <c r="Q410" i="2"/>
  <c r="P410" i="2"/>
  <c r="O410" i="2"/>
  <c r="Q409" i="2"/>
  <c r="P409" i="2"/>
  <c r="O409" i="2"/>
  <c r="Q408" i="2"/>
  <c r="P408" i="2"/>
  <c r="O408" i="2"/>
  <c r="Q407" i="2"/>
  <c r="P407" i="2"/>
  <c r="O407" i="2"/>
  <c r="Q406" i="2"/>
  <c r="P406" i="2"/>
  <c r="O406" i="2"/>
  <c r="Q405" i="2"/>
  <c r="P405" i="2"/>
  <c r="O405" i="2"/>
  <c r="Q404" i="2"/>
  <c r="P404" i="2"/>
  <c r="O404" i="2"/>
  <c r="Q403" i="2"/>
  <c r="P403" i="2"/>
  <c r="O403" i="2"/>
  <c r="Q402" i="2"/>
  <c r="P402" i="2"/>
  <c r="O402" i="2"/>
  <c r="Q401" i="2"/>
  <c r="P401" i="2"/>
  <c r="O401" i="2"/>
  <c r="Q400" i="2"/>
  <c r="P400" i="2"/>
  <c r="O400" i="2"/>
  <c r="Q399" i="2"/>
  <c r="P399" i="2"/>
  <c r="O399" i="2"/>
  <c r="Q398" i="2"/>
  <c r="P398" i="2"/>
  <c r="O398" i="2"/>
  <c r="Q397" i="2"/>
  <c r="P397" i="2"/>
  <c r="O397" i="2"/>
  <c r="Q396" i="2"/>
  <c r="P396" i="2"/>
  <c r="O396" i="2"/>
  <c r="Q395" i="2"/>
  <c r="P395" i="2"/>
  <c r="O395" i="2"/>
  <c r="Q394" i="2"/>
  <c r="P394" i="2"/>
  <c r="O394" i="2"/>
  <c r="Q393" i="2"/>
  <c r="P393" i="2"/>
  <c r="O393" i="2"/>
  <c r="Q392" i="2"/>
  <c r="P392" i="2"/>
  <c r="O392" i="2"/>
  <c r="Q391" i="2"/>
  <c r="P391" i="2"/>
  <c r="O391" i="2"/>
  <c r="Q390" i="2"/>
  <c r="P390" i="2"/>
  <c r="O390" i="2"/>
  <c r="Q389" i="2"/>
  <c r="P389" i="2"/>
  <c r="O389" i="2"/>
  <c r="Q388" i="2"/>
  <c r="P388" i="2"/>
  <c r="O388" i="2"/>
  <c r="Q387" i="2"/>
  <c r="P387" i="2"/>
  <c r="O387" i="2"/>
  <c r="Q386" i="2"/>
  <c r="P386" i="2"/>
  <c r="O386" i="2"/>
  <c r="Q385" i="2"/>
  <c r="P385" i="2"/>
  <c r="O385" i="2"/>
  <c r="Q384" i="2"/>
  <c r="P384" i="2"/>
  <c r="O384" i="2"/>
  <c r="Q383" i="2"/>
  <c r="P383" i="2"/>
  <c r="O383" i="2"/>
  <c r="Q382" i="2"/>
  <c r="P382" i="2"/>
  <c r="O382" i="2"/>
  <c r="Q381" i="2"/>
  <c r="P381" i="2"/>
  <c r="O381" i="2"/>
  <c r="Q380" i="2"/>
  <c r="P380" i="2"/>
  <c r="O380" i="2"/>
  <c r="Q379" i="2"/>
  <c r="P379" i="2"/>
  <c r="O379" i="2"/>
  <c r="Q378" i="2"/>
  <c r="P378" i="2"/>
  <c r="O378" i="2"/>
  <c r="Q377" i="2"/>
  <c r="P377" i="2"/>
  <c r="O377" i="2"/>
  <c r="Q376" i="2"/>
  <c r="P376" i="2"/>
  <c r="O376" i="2"/>
  <c r="Q375" i="2"/>
  <c r="P375" i="2"/>
  <c r="O375" i="2"/>
  <c r="Q374" i="2"/>
  <c r="P374" i="2"/>
  <c r="O374" i="2"/>
  <c r="Q373" i="2"/>
  <c r="P373" i="2"/>
  <c r="O373" i="2"/>
  <c r="Q372" i="2"/>
  <c r="P372" i="2"/>
  <c r="O372" i="2"/>
  <c r="Q371" i="2"/>
  <c r="P371" i="2"/>
  <c r="O371" i="2"/>
  <c r="Q370" i="2"/>
  <c r="P370" i="2"/>
  <c r="O370" i="2"/>
  <c r="Q369" i="2"/>
  <c r="P369" i="2"/>
  <c r="O369" i="2"/>
  <c r="Q368" i="2"/>
  <c r="P368" i="2"/>
  <c r="O368" i="2"/>
  <c r="Q367" i="2"/>
  <c r="P367" i="2"/>
  <c r="O367" i="2"/>
  <c r="Q366" i="2"/>
  <c r="P366" i="2"/>
  <c r="O366" i="2"/>
  <c r="Q365" i="2"/>
  <c r="P365" i="2"/>
  <c r="O365" i="2"/>
  <c r="Q364" i="2"/>
  <c r="P364" i="2"/>
  <c r="O364" i="2"/>
  <c r="Q363" i="2"/>
  <c r="P363" i="2"/>
  <c r="O363" i="2"/>
  <c r="Q362" i="2"/>
  <c r="P362" i="2"/>
  <c r="O362" i="2"/>
  <c r="Q361" i="2"/>
  <c r="P361" i="2"/>
  <c r="O361" i="2"/>
  <c r="Q360" i="2"/>
  <c r="P360" i="2"/>
  <c r="O360" i="2"/>
  <c r="Q359" i="2"/>
  <c r="P359" i="2"/>
  <c r="O359" i="2"/>
  <c r="Q358" i="2"/>
  <c r="P358" i="2"/>
  <c r="O358" i="2"/>
  <c r="Q357" i="2"/>
  <c r="P357" i="2"/>
  <c r="O357" i="2"/>
  <c r="Q356" i="2"/>
  <c r="P356" i="2"/>
  <c r="O356" i="2"/>
  <c r="Q355" i="2"/>
  <c r="P355" i="2"/>
  <c r="O355" i="2"/>
  <c r="Q354" i="2"/>
  <c r="P354" i="2"/>
  <c r="O354" i="2"/>
  <c r="Q353" i="2"/>
  <c r="P353" i="2"/>
  <c r="O353" i="2"/>
  <c r="Q352" i="2"/>
  <c r="P352" i="2"/>
  <c r="O352" i="2"/>
  <c r="Q351" i="2"/>
  <c r="P351" i="2"/>
  <c r="O351" i="2"/>
  <c r="Q350" i="2"/>
  <c r="P350" i="2"/>
  <c r="O350" i="2"/>
  <c r="Q349" i="2"/>
  <c r="P349" i="2"/>
  <c r="O349" i="2"/>
  <c r="Q348" i="2"/>
  <c r="P348" i="2"/>
  <c r="O348" i="2"/>
  <c r="Q347" i="2"/>
  <c r="P347" i="2"/>
  <c r="O347" i="2"/>
  <c r="Q346" i="2"/>
  <c r="P346" i="2"/>
  <c r="O346" i="2"/>
  <c r="Q345" i="2"/>
  <c r="P345" i="2"/>
  <c r="O345" i="2"/>
  <c r="Q344" i="2"/>
  <c r="P344" i="2"/>
  <c r="O344" i="2"/>
  <c r="Q343" i="2"/>
  <c r="P343" i="2"/>
  <c r="O343" i="2"/>
  <c r="Q342" i="2"/>
  <c r="P342" i="2"/>
  <c r="O342" i="2"/>
  <c r="Q341" i="2"/>
  <c r="P341" i="2"/>
  <c r="O341" i="2"/>
  <c r="Q340" i="2"/>
  <c r="P340" i="2"/>
  <c r="O340" i="2"/>
  <c r="Q339" i="2"/>
  <c r="P339" i="2"/>
  <c r="O339" i="2"/>
  <c r="Q338" i="2"/>
  <c r="P338" i="2"/>
  <c r="O338" i="2"/>
  <c r="Q337" i="2"/>
  <c r="P337" i="2"/>
  <c r="O337" i="2"/>
  <c r="Q336" i="2"/>
  <c r="P336" i="2"/>
  <c r="O336" i="2"/>
  <c r="Q335" i="2"/>
  <c r="P335" i="2"/>
  <c r="O335" i="2"/>
  <c r="Q334" i="2"/>
  <c r="P334" i="2"/>
  <c r="O334" i="2"/>
  <c r="Q333" i="2"/>
  <c r="P333" i="2"/>
  <c r="O333" i="2"/>
  <c r="Q332" i="2"/>
  <c r="P332" i="2"/>
  <c r="O332" i="2"/>
  <c r="Q331" i="2"/>
  <c r="P331" i="2"/>
  <c r="O331" i="2"/>
  <c r="Q330" i="2"/>
  <c r="P330" i="2"/>
  <c r="O330" i="2"/>
  <c r="Q329" i="2"/>
  <c r="P329" i="2"/>
  <c r="O329" i="2"/>
  <c r="Q328" i="2"/>
  <c r="P328" i="2"/>
  <c r="O328" i="2"/>
  <c r="Q327" i="2"/>
  <c r="P327" i="2"/>
  <c r="O327" i="2"/>
  <c r="Q326" i="2"/>
  <c r="P326" i="2"/>
  <c r="O326" i="2"/>
  <c r="Q325" i="2"/>
  <c r="P325" i="2"/>
  <c r="O325" i="2"/>
  <c r="Q324" i="2"/>
  <c r="P324" i="2"/>
  <c r="O324" i="2"/>
  <c r="Q323" i="2"/>
  <c r="P323" i="2"/>
  <c r="O323" i="2"/>
  <c r="Q322" i="2"/>
  <c r="P322" i="2"/>
  <c r="O322" i="2"/>
  <c r="Q321" i="2"/>
  <c r="P321" i="2"/>
  <c r="O321" i="2"/>
  <c r="Q320" i="2"/>
  <c r="P320" i="2"/>
  <c r="O320" i="2"/>
  <c r="Q319" i="2"/>
  <c r="P319" i="2"/>
  <c r="O319" i="2"/>
  <c r="Q318" i="2"/>
  <c r="P318" i="2"/>
  <c r="O318" i="2"/>
  <c r="Q317" i="2"/>
  <c r="P317" i="2"/>
  <c r="O317" i="2"/>
  <c r="Q316" i="2"/>
  <c r="P316" i="2"/>
  <c r="O316" i="2"/>
  <c r="Q315" i="2"/>
  <c r="P315" i="2"/>
  <c r="O315" i="2"/>
  <c r="Q314" i="2"/>
  <c r="P314" i="2"/>
  <c r="O314" i="2"/>
  <c r="Q313" i="2"/>
  <c r="P313" i="2"/>
  <c r="O313" i="2"/>
  <c r="Q312" i="2"/>
  <c r="P312" i="2"/>
  <c r="O312" i="2"/>
  <c r="Q311" i="2"/>
  <c r="P311" i="2"/>
  <c r="O311" i="2"/>
  <c r="Q310" i="2"/>
  <c r="P310" i="2"/>
  <c r="O310" i="2"/>
  <c r="Q309" i="2"/>
  <c r="P309" i="2"/>
  <c r="O309" i="2"/>
  <c r="Q308" i="2"/>
  <c r="P308" i="2"/>
  <c r="O308" i="2"/>
  <c r="Q307" i="2"/>
  <c r="P307" i="2"/>
  <c r="O307" i="2"/>
  <c r="Q306" i="2"/>
  <c r="P306" i="2"/>
  <c r="O306" i="2"/>
  <c r="Q305" i="2"/>
  <c r="P305" i="2"/>
  <c r="O305" i="2"/>
  <c r="Q304" i="2"/>
  <c r="P304" i="2"/>
  <c r="O304" i="2"/>
  <c r="Q303" i="2"/>
  <c r="P303" i="2"/>
  <c r="O303" i="2"/>
  <c r="Q302" i="2"/>
  <c r="P302" i="2"/>
  <c r="O302" i="2"/>
  <c r="Q301" i="2"/>
  <c r="P301" i="2"/>
  <c r="O301" i="2"/>
  <c r="Q300" i="2"/>
  <c r="P300" i="2"/>
  <c r="O300" i="2"/>
  <c r="Q299" i="2"/>
  <c r="P299" i="2"/>
  <c r="O299" i="2"/>
  <c r="Q298" i="2"/>
  <c r="P298" i="2"/>
  <c r="O298" i="2"/>
  <c r="Q297" i="2"/>
  <c r="P297" i="2"/>
  <c r="O297" i="2"/>
  <c r="Q296" i="2"/>
  <c r="P296" i="2"/>
  <c r="O296" i="2"/>
  <c r="Q295" i="2"/>
  <c r="P295" i="2"/>
  <c r="O295" i="2"/>
  <c r="Q294" i="2"/>
  <c r="P294" i="2"/>
  <c r="O294" i="2"/>
  <c r="Q293" i="2"/>
  <c r="P293" i="2"/>
  <c r="O293" i="2"/>
  <c r="Q292" i="2"/>
  <c r="P292" i="2"/>
  <c r="O292" i="2"/>
  <c r="Q291" i="2"/>
  <c r="P291" i="2"/>
  <c r="O291" i="2"/>
  <c r="Q290" i="2"/>
  <c r="P290" i="2"/>
  <c r="O290" i="2"/>
  <c r="Q289" i="2"/>
  <c r="P289" i="2"/>
  <c r="O289" i="2"/>
  <c r="Q288" i="2"/>
  <c r="P288" i="2"/>
  <c r="O288" i="2"/>
  <c r="Q287" i="2"/>
  <c r="P287" i="2"/>
  <c r="O287" i="2"/>
  <c r="Q286" i="2"/>
  <c r="P286" i="2"/>
  <c r="O286" i="2"/>
  <c r="Q285" i="2"/>
  <c r="P285" i="2"/>
  <c r="O285" i="2"/>
  <c r="Q284" i="2"/>
  <c r="P284" i="2"/>
  <c r="O284" i="2"/>
  <c r="Q283" i="2"/>
  <c r="P283" i="2"/>
  <c r="O283" i="2"/>
  <c r="Q282" i="2"/>
  <c r="P282" i="2"/>
  <c r="O282" i="2"/>
  <c r="Q281" i="2"/>
  <c r="P281" i="2"/>
  <c r="O281" i="2"/>
  <c r="Q280" i="2"/>
  <c r="P280" i="2"/>
  <c r="O280" i="2"/>
  <c r="Q279" i="2"/>
  <c r="P279" i="2"/>
  <c r="O279" i="2"/>
  <c r="Q278" i="2"/>
  <c r="P278" i="2"/>
  <c r="O278" i="2"/>
  <c r="Q277" i="2"/>
  <c r="P277" i="2"/>
  <c r="O277" i="2"/>
  <c r="Q276" i="2"/>
  <c r="P276" i="2"/>
  <c r="O276" i="2"/>
  <c r="Q275" i="2"/>
  <c r="P275" i="2"/>
  <c r="O275" i="2"/>
  <c r="Q274" i="2"/>
  <c r="P274" i="2"/>
  <c r="O274" i="2"/>
  <c r="Q273" i="2"/>
  <c r="P273" i="2"/>
  <c r="O273" i="2"/>
  <c r="Q272" i="2"/>
  <c r="P272" i="2"/>
  <c r="O272" i="2"/>
  <c r="Q271" i="2"/>
  <c r="P271" i="2"/>
  <c r="O271" i="2"/>
  <c r="Q270" i="2"/>
  <c r="P270" i="2"/>
  <c r="O270" i="2"/>
  <c r="Q269" i="2"/>
  <c r="P269" i="2"/>
  <c r="O269" i="2"/>
  <c r="Q268" i="2"/>
  <c r="P268" i="2"/>
  <c r="O268" i="2"/>
  <c r="Q267" i="2"/>
  <c r="P267" i="2"/>
  <c r="O267" i="2"/>
  <c r="Q266" i="2"/>
  <c r="P266" i="2"/>
  <c r="O266" i="2"/>
  <c r="Q265" i="2"/>
  <c r="P265" i="2"/>
  <c r="O265" i="2"/>
  <c r="Q264" i="2"/>
  <c r="P264" i="2"/>
  <c r="O264" i="2"/>
  <c r="Q263" i="2"/>
  <c r="P263" i="2"/>
  <c r="O263" i="2"/>
  <c r="Q262" i="2"/>
  <c r="P262" i="2"/>
  <c r="O262" i="2"/>
  <c r="Q261" i="2"/>
  <c r="P261" i="2"/>
  <c r="O261" i="2"/>
  <c r="Q260" i="2"/>
  <c r="P260" i="2"/>
  <c r="O260" i="2"/>
  <c r="Q259" i="2"/>
  <c r="P259" i="2"/>
  <c r="O259" i="2"/>
  <c r="Q258" i="2"/>
  <c r="P258" i="2"/>
  <c r="O258" i="2"/>
  <c r="Q257" i="2"/>
  <c r="P257" i="2"/>
  <c r="O257" i="2"/>
  <c r="Q256" i="2"/>
  <c r="P256" i="2"/>
  <c r="O256" i="2"/>
  <c r="Q255" i="2"/>
  <c r="P255" i="2"/>
  <c r="O255" i="2"/>
  <c r="Q254" i="2"/>
  <c r="P254" i="2"/>
  <c r="O254" i="2"/>
  <c r="Q253" i="2"/>
  <c r="P253" i="2"/>
  <c r="O253" i="2"/>
  <c r="Q252" i="2"/>
  <c r="P252" i="2"/>
  <c r="O252" i="2"/>
  <c r="Q251" i="2"/>
  <c r="P251" i="2"/>
  <c r="O251" i="2"/>
  <c r="Q250" i="2"/>
  <c r="P250" i="2"/>
  <c r="O250" i="2"/>
  <c r="Q249" i="2"/>
  <c r="P249" i="2"/>
  <c r="O249" i="2"/>
  <c r="Q248" i="2"/>
  <c r="P248" i="2"/>
  <c r="O248" i="2"/>
  <c r="Q247" i="2"/>
  <c r="P247" i="2"/>
  <c r="O247" i="2"/>
  <c r="Q246" i="2"/>
  <c r="P246" i="2"/>
  <c r="O246" i="2"/>
  <c r="Q245" i="2"/>
  <c r="P245" i="2"/>
  <c r="O245" i="2"/>
  <c r="Q244" i="2"/>
  <c r="P244" i="2"/>
  <c r="O244" i="2"/>
  <c r="Q243" i="2"/>
  <c r="P243" i="2"/>
  <c r="O243" i="2"/>
  <c r="Q242" i="2"/>
  <c r="P242" i="2"/>
  <c r="O242" i="2"/>
  <c r="Q241" i="2"/>
  <c r="P241" i="2"/>
  <c r="O241" i="2"/>
  <c r="Q240" i="2"/>
  <c r="P240" i="2"/>
  <c r="O240" i="2"/>
  <c r="Q239" i="2"/>
  <c r="P239" i="2"/>
  <c r="O239" i="2"/>
  <c r="Q238" i="2"/>
  <c r="P238" i="2"/>
  <c r="O238" i="2"/>
  <c r="Q237" i="2"/>
  <c r="P237" i="2"/>
  <c r="O237" i="2"/>
  <c r="Q236" i="2"/>
  <c r="P236" i="2"/>
  <c r="O236" i="2"/>
  <c r="Q235" i="2"/>
  <c r="P235" i="2"/>
  <c r="O235" i="2"/>
  <c r="Q234" i="2"/>
  <c r="P234" i="2"/>
  <c r="O234" i="2"/>
  <c r="Q233" i="2"/>
  <c r="P233" i="2"/>
  <c r="O233" i="2"/>
  <c r="Q232" i="2"/>
  <c r="P232" i="2"/>
  <c r="O232" i="2"/>
  <c r="Q231" i="2"/>
  <c r="P231" i="2"/>
  <c r="O231" i="2"/>
  <c r="Q230" i="2"/>
  <c r="P230" i="2"/>
  <c r="O230" i="2"/>
  <c r="Q229" i="2"/>
  <c r="P229" i="2"/>
  <c r="O229" i="2"/>
  <c r="Q228" i="2"/>
  <c r="P228" i="2"/>
  <c r="O228" i="2"/>
  <c r="Q227" i="2"/>
  <c r="P227" i="2"/>
  <c r="O227" i="2"/>
  <c r="Q226" i="2"/>
  <c r="P226" i="2"/>
  <c r="O226" i="2"/>
  <c r="Q225" i="2"/>
  <c r="P225" i="2"/>
  <c r="O225" i="2"/>
  <c r="Q224" i="2"/>
  <c r="P224" i="2"/>
  <c r="O224" i="2"/>
  <c r="Q223" i="2"/>
  <c r="P223" i="2"/>
  <c r="O223" i="2"/>
  <c r="Q222" i="2"/>
  <c r="P222" i="2"/>
  <c r="O222" i="2"/>
  <c r="Q221" i="2"/>
  <c r="P221" i="2"/>
  <c r="O221" i="2"/>
  <c r="Q220" i="2"/>
  <c r="P220" i="2"/>
  <c r="O220" i="2"/>
  <c r="Q219" i="2"/>
  <c r="P219" i="2"/>
  <c r="O219" i="2"/>
  <c r="Q218" i="2"/>
  <c r="P218" i="2"/>
  <c r="O218" i="2"/>
  <c r="Q217" i="2"/>
  <c r="P217" i="2"/>
  <c r="O217" i="2"/>
  <c r="Q216" i="2"/>
  <c r="P216" i="2"/>
  <c r="O216" i="2"/>
  <c r="Q215" i="2"/>
  <c r="P215" i="2"/>
  <c r="O215" i="2"/>
  <c r="Q214" i="2"/>
  <c r="P214" i="2"/>
  <c r="O214" i="2"/>
  <c r="Q213" i="2"/>
  <c r="P213" i="2"/>
  <c r="O213" i="2"/>
  <c r="Q212" i="2"/>
  <c r="P212" i="2"/>
  <c r="O212" i="2"/>
  <c r="Q211" i="2"/>
  <c r="P211" i="2"/>
  <c r="O211" i="2"/>
  <c r="Q210" i="2"/>
  <c r="P210" i="2"/>
  <c r="O210" i="2"/>
  <c r="Q209" i="2"/>
  <c r="P209" i="2"/>
  <c r="O209" i="2"/>
  <c r="Q208" i="2"/>
  <c r="P208" i="2"/>
  <c r="O208" i="2"/>
  <c r="Q207" i="2"/>
  <c r="P207" i="2"/>
  <c r="O207" i="2"/>
  <c r="Q206" i="2"/>
  <c r="P206" i="2"/>
  <c r="O206" i="2"/>
  <c r="Q205" i="2"/>
  <c r="P205" i="2"/>
  <c r="O205" i="2"/>
  <c r="Q204" i="2"/>
  <c r="P204" i="2"/>
  <c r="O204" i="2"/>
  <c r="Q203" i="2"/>
  <c r="P203" i="2"/>
  <c r="O203" i="2"/>
  <c r="Q202" i="2"/>
  <c r="P202" i="2"/>
  <c r="O202" i="2"/>
  <c r="Q201" i="2"/>
  <c r="P201" i="2"/>
  <c r="O201" i="2"/>
  <c r="Q200" i="2"/>
  <c r="P200" i="2"/>
  <c r="O200" i="2"/>
  <c r="Q199" i="2"/>
  <c r="P199" i="2"/>
  <c r="O199" i="2"/>
  <c r="Q198" i="2"/>
  <c r="P198" i="2"/>
  <c r="O198" i="2"/>
  <c r="Q197" i="2"/>
  <c r="P197" i="2"/>
  <c r="O197" i="2"/>
  <c r="Q196" i="2"/>
  <c r="P196" i="2"/>
  <c r="O196" i="2"/>
  <c r="Q195" i="2"/>
  <c r="P195" i="2"/>
  <c r="O195" i="2"/>
  <c r="Q194" i="2"/>
  <c r="P194" i="2"/>
  <c r="O194" i="2"/>
  <c r="Q193" i="2"/>
  <c r="P193" i="2"/>
  <c r="O193" i="2"/>
  <c r="Q192" i="2"/>
  <c r="P192" i="2"/>
  <c r="O192" i="2"/>
  <c r="Q191" i="2"/>
  <c r="P191" i="2"/>
  <c r="O191" i="2"/>
  <c r="Q190" i="2"/>
  <c r="P190" i="2"/>
  <c r="O190" i="2"/>
  <c r="Q189" i="2"/>
  <c r="P189" i="2"/>
  <c r="O189" i="2"/>
  <c r="Q188" i="2"/>
  <c r="P188" i="2"/>
  <c r="O188" i="2"/>
  <c r="Q187" i="2"/>
  <c r="P187" i="2"/>
  <c r="O187" i="2"/>
  <c r="Q186" i="2"/>
  <c r="P186" i="2"/>
  <c r="O186" i="2"/>
  <c r="Q185" i="2"/>
  <c r="P185" i="2"/>
  <c r="O185" i="2"/>
  <c r="Q184" i="2"/>
  <c r="P184" i="2"/>
  <c r="O184" i="2"/>
  <c r="Q183" i="2"/>
  <c r="P183" i="2"/>
  <c r="O183" i="2"/>
  <c r="Q182" i="2"/>
  <c r="P182" i="2"/>
  <c r="O182" i="2"/>
  <c r="Q181" i="2"/>
  <c r="P181" i="2"/>
  <c r="O181" i="2"/>
  <c r="Q180" i="2"/>
  <c r="P180" i="2"/>
  <c r="O180" i="2"/>
  <c r="Q179" i="2"/>
  <c r="P179" i="2"/>
  <c r="O179" i="2"/>
  <c r="Q178" i="2"/>
  <c r="P178" i="2"/>
  <c r="O178" i="2"/>
  <c r="Q177" i="2"/>
  <c r="P177" i="2"/>
  <c r="O177" i="2"/>
  <c r="Q176" i="2"/>
  <c r="P176" i="2"/>
  <c r="O176" i="2"/>
  <c r="Q175" i="2"/>
  <c r="P175" i="2"/>
  <c r="O175" i="2"/>
  <c r="Q174" i="2"/>
  <c r="P174" i="2"/>
  <c r="O174" i="2"/>
  <c r="Q173" i="2"/>
  <c r="P173" i="2"/>
  <c r="O173" i="2"/>
  <c r="Q172" i="2"/>
  <c r="P172" i="2"/>
  <c r="O172" i="2"/>
  <c r="Q171" i="2"/>
  <c r="P171" i="2"/>
  <c r="O171" i="2"/>
  <c r="Q170" i="2"/>
  <c r="P170" i="2"/>
  <c r="O170" i="2"/>
  <c r="Q169" i="2"/>
  <c r="P169" i="2"/>
  <c r="O169" i="2"/>
  <c r="Q168" i="2"/>
  <c r="P168" i="2"/>
  <c r="O168" i="2"/>
  <c r="Q167" i="2"/>
  <c r="P167" i="2"/>
  <c r="O167" i="2"/>
  <c r="Q166" i="2"/>
  <c r="P166" i="2"/>
  <c r="O166" i="2"/>
  <c r="Q165" i="2"/>
  <c r="P165" i="2"/>
  <c r="O165" i="2"/>
  <c r="Q164" i="2"/>
  <c r="P164" i="2"/>
  <c r="O164" i="2"/>
  <c r="Q163" i="2"/>
  <c r="P163" i="2"/>
  <c r="O163" i="2"/>
  <c r="Q162" i="2"/>
  <c r="P162" i="2"/>
  <c r="O162" i="2"/>
  <c r="Q161" i="2"/>
  <c r="P161" i="2"/>
  <c r="O161" i="2"/>
  <c r="Q160" i="2"/>
  <c r="P160" i="2"/>
  <c r="O160" i="2"/>
  <c r="Q159" i="2"/>
  <c r="P159" i="2"/>
  <c r="O159" i="2"/>
  <c r="Q158" i="2"/>
  <c r="P158" i="2"/>
  <c r="O158" i="2"/>
  <c r="Q157" i="2"/>
  <c r="P157" i="2"/>
  <c r="O157" i="2"/>
  <c r="Q156" i="2"/>
  <c r="P156" i="2"/>
  <c r="O156" i="2"/>
  <c r="Q155" i="2"/>
  <c r="P155" i="2"/>
  <c r="O155" i="2"/>
  <c r="Q154" i="2"/>
  <c r="P154" i="2"/>
  <c r="O154" i="2"/>
  <c r="Q153" i="2"/>
  <c r="P153" i="2"/>
  <c r="O153" i="2"/>
  <c r="Q152" i="2"/>
  <c r="P152" i="2"/>
  <c r="O152" i="2"/>
  <c r="Q151" i="2"/>
  <c r="P151" i="2"/>
  <c r="O151" i="2"/>
  <c r="Q150" i="2"/>
  <c r="P150" i="2"/>
  <c r="O150" i="2"/>
  <c r="Q149" i="2"/>
  <c r="P149" i="2"/>
  <c r="O149" i="2"/>
  <c r="Q148" i="2"/>
  <c r="P148" i="2"/>
  <c r="O148" i="2"/>
  <c r="Q147" i="2"/>
  <c r="P147" i="2"/>
  <c r="O147" i="2"/>
  <c r="Q146" i="2"/>
  <c r="P146" i="2"/>
  <c r="O146" i="2"/>
  <c r="Q145" i="2"/>
  <c r="P145" i="2"/>
  <c r="O145" i="2"/>
  <c r="Q144" i="2"/>
  <c r="P144" i="2"/>
  <c r="O144" i="2"/>
  <c r="Q143" i="2"/>
  <c r="P143" i="2"/>
  <c r="O143" i="2"/>
  <c r="Q142" i="2"/>
  <c r="P142" i="2"/>
  <c r="O142" i="2"/>
  <c r="Q141" i="2"/>
  <c r="P141" i="2"/>
  <c r="O141" i="2"/>
  <c r="Q140" i="2"/>
  <c r="P140" i="2"/>
  <c r="O140" i="2"/>
  <c r="Q139" i="2"/>
  <c r="P139" i="2"/>
  <c r="O139" i="2"/>
  <c r="Q138" i="2"/>
  <c r="P138" i="2"/>
  <c r="O138" i="2"/>
  <c r="Q137" i="2"/>
  <c r="P137" i="2"/>
  <c r="O137" i="2"/>
  <c r="Q136" i="2"/>
  <c r="P136" i="2"/>
  <c r="O136" i="2"/>
  <c r="Q135" i="2"/>
  <c r="P135" i="2"/>
  <c r="O135" i="2"/>
  <c r="Q134" i="2"/>
  <c r="P134" i="2"/>
  <c r="O134" i="2"/>
  <c r="Q133" i="2"/>
  <c r="P133" i="2"/>
  <c r="O133" i="2"/>
  <c r="Q132" i="2"/>
  <c r="P132" i="2"/>
  <c r="O132" i="2"/>
  <c r="Q131" i="2"/>
  <c r="P131" i="2"/>
  <c r="O131" i="2"/>
  <c r="Q130" i="2"/>
  <c r="P130" i="2"/>
  <c r="O130" i="2"/>
  <c r="Q129" i="2"/>
  <c r="P129" i="2"/>
  <c r="O129" i="2"/>
  <c r="Q128" i="2"/>
  <c r="P128" i="2"/>
  <c r="O128" i="2"/>
  <c r="Q127" i="2"/>
  <c r="P127" i="2"/>
  <c r="O127" i="2"/>
  <c r="Q126" i="2"/>
  <c r="P126" i="2"/>
  <c r="O126" i="2"/>
  <c r="Q125" i="2"/>
  <c r="P125" i="2"/>
  <c r="O125" i="2"/>
  <c r="Q124" i="2"/>
  <c r="P124" i="2"/>
  <c r="O124" i="2"/>
  <c r="Q123" i="2"/>
  <c r="P123" i="2"/>
  <c r="O123" i="2"/>
  <c r="Q122" i="2"/>
  <c r="P122" i="2"/>
  <c r="O122" i="2"/>
  <c r="Q121" i="2"/>
  <c r="P121" i="2"/>
  <c r="O121" i="2"/>
  <c r="Q120" i="2"/>
  <c r="P120" i="2"/>
  <c r="O120" i="2"/>
  <c r="Q119" i="2"/>
  <c r="P119" i="2"/>
  <c r="O119" i="2"/>
  <c r="Q118" i="2"/>
  <c r="P118" i="2"/>
  <c r="O118" i="2"/>
  <c r="Q117" i="2"/>
  <c r="P117" i="2"/>
  <c r="O117" i="2"/>
  <c r="Q116" i="2"/>
  <c r="P116" i="2"/>
  <c r="O116" i="2"/>
  <c r="Q115" i="2"/>
  <c r="P115" i="2"/>
  <c r="O115" i="2"/>
  <c r="Q114" i="2"/>
  <c r="P114" i="2"/>
  <c r="O114" i="2"/>
  <c r="Q113" i="2"/>
  <c r="P113" i="2"/>
  <c r="O113" i="2"/>
  <c r="Q112" i="2"/>
  <c r="P112" i="2"/>
  <c r="O112" i="2"/>
  <c r="Q111" i="2"/>
  <c r="P111" i="2"/>
  <c r="O111" i="2"/>
  <c r="Q110" i="2"/>
  <c r="P110" i="2"/>
  <c r="O110" i="2"/>
  <c r="Q109" i="2"/>
  <c r="P109" i="2"/>
  <c r="O109" i="2"/>
  <c r="Q108" i="2"/>
  <c r="P108" i="2"/>
  <c r="O108" i="2"/>
  <c r="Q107" i="2"/>
  <c r="P107" i="2"/>
  <c r="O107" i="2"/>
  <c r="Q106" i="2"/>
  <c r="P106" i="2"/>
  <c r="O106" i="2"/>
  <c r="Q105" i="2"/>
  <c r="P105" i="2"/>
  <c r="O105" i="2"/>
  <c r="Q104" i="2"/>
  <c r="P104" i="2"/>
  <c r="O104" i="2"/>
  <c r="Q103" i="2"/>
  <c r="P103" i="2"/>
  <c r="O103" i="2"/>
  <c r="Q102" i="2"/>
  <c r="P102" i="2"/>
  <c r="O102" i="2"/>
  <c r="Q101" i="2"/>
  <c r="P101" i="2"/>
  <c r="O101" i="2"/>
  <c r="Q100" i="2"/>
  <c r="P100" i="2"/>
  <c r="O100" i="2"/>
  <c r="Q99" i="2"/>
  <c r="P99" i="2"/>
  <c r="O99" i="2"/>
  <c r="Q98" i="2"/>
  <c r="P98" i="2"/>
  <c r="O98" i="2"/>
  <c r="Q97" i="2"/>
  <c r="P97" i="2"/>
  <c r="O97" i="2"/>
  <c r="Q96" i="2"/>
  <c r="P96" i="2"/>
  <c r="O96" i="2"/>
  <c r="Q95" i="2"/>
  <c r="P95" i="2"/>
  <c r="O95" i="2"/>
  <c r="Q94" i="2"/>
  <c r="P94" i="2"/>
  <c r="O94" i="2"/>
  <c r="Q93" i="2"/>
  <c r="P93" i="2"/>
  <c r="O93" i="2"/>
  <c r="Q92" i="2"/>
  <c r="P92" i="2"/>
  <c r="O92" i="2"/>
  <c r="Q91" i="2"/>
  <c r="P91" i="2"/>
  <c r="O91" i="2"/>
  <c r="Q90" i="2"/>
  <c r="P90" i="2"/>
  <c r="O90" i="2"/>
  <c r="Q89" i="2"/>
  <c r="P89" i="2"/>
  <c r="O89" i="2"/>
  <c r="Q88" i="2"/>
  <c r="P88" i="2"/>
  <c r="O88" i="2"/>
  <c r="Q87" i="2"/>
  <c r="P87" i="2"/>
  <c r="O87" i="2"/>
  <c r="Q86" i="2"/>
  <c r="P86" i="2"/>
  <c r="O86" i="2"/>
  <c r="Q85" i="2"/>
  <c r="P85" i="2"/>
  <c r="O85" i="2"/>
  <c r="Q84" i="2"/>
  <c r="P84" i="2"/>
  <c r="O84" i="2"/>
  <c r="Q83" i="2"/>
  <c r="P83" i="2"/>
  <c r="O83" i="2"/>
  <c r="Q82" i="2"/>
  <c r="P82" i="2"/>
  <c r="O82" i="2"/>
  <c r="Q81" i="2"/>
  <c r="P81" i="2"/>
  <c r="O81" i="2"/>
  <c r="Q80" i="2"/>
  <c r="P80" i="2"/>
  <c r="O80" i="2"/>
  <c r="Q79" i="2"/>
  <c r="P79" i="2"/>
  <c r="O79" i="2"/>
  <c r="Q78" i="2"/>
  <c r="P78" i="2"/>
  <c r="O78" i="2"/>
  <c r="Q77" i="2"/>
  <c r="P77" i="2"/>
  <c r="O77" i="2"/>
  <c r="Q76" i="2"/>
  <c r="P76" i="2"/>
  <c r="O76" i="2"/>
  <c r="Q75" i="2"/>
  <c r="P75" i="2"/>
  <c r="O75" i="2"/>
  <c r="Q74" i="2"/>
  <c r="P74" i="2"/>
  <c r="O74" i="2"/>
  <c r="Q73" i="2"/>
  <c r="P73" i="2"/>
  <c r="O73" i="2"/>
  <c r="Q72" i="2"/>
  <c r="P72" i="2"/>
  <c r="O72" i="2"/>
  <c r="Q71" i="2"/>
  <c r="P71" i="2"/>
  <c r="O71" i="2"/>
  <c r="Q70" i="2"/>
  <c r="P70" i="2"/>
  <c r="O70" i="2"/>
  <c r="Q69" i="2"/>
  <c r="P69" i="2"/>
  <c r="O69" i="2"/>
  <c r="Q68" i="2"/>
  <c r="P68" i="2"/>
  <c r="O68" i="2"/>
  <c r="Q67" i="2"/>
  <c r="P67" i="2"/>
  <c r="O67" i="2"/>
  <c r="Q66" i="2"/>
  <c r="P66" i="2"/>
  <c r="O66" i="2"/>
  <c r="Q65" i="2"/>
  <c r="P65" i="2"/>
  <c r="O65" i="2"/>
  <c r="Q64" i="2"/>
  <c r="P64" i="2"/>
  <c r="O64" i="2"/>
  <c r="Q63" i="2"/>
  <c r="P63" i="2"/>
  <c r="O63" i="2"/>
  <c r="Q62" i="2"/>
  <c r="P62" i="2"/>
  <c r="O62" i="2"/>
  <c r="Q61" i="2"/>
  <c r="P61" i="2"/>
  <c r="O61" i="2"/>
  <c r="Q60" i="2"/>
  <c r="P60" i="2"/>
  <c r="O60" i="2"/>
  <c r="Q59" i="2"/>
  <c r="P59" i="2"/>
  <c r="O59" i="2"/>
  <c r="Q58" i="2"/>
  <c r="P58" i="2"/>
  <c r="O58" i="2"/>
  <c r="Q57" i="2"/>
  <c r="P57" i="2"/>
  <c r="O57" i="2"/>
  <c r="Q56" i="2"/>
  <c r="P56" i="2"/>
  <c r="O56" i="2"/>
  <c r="Q55" i="2"/>
  <c r="P55" i="2"/>
  <c r="O55" i="2"/>
  <c r="Q54" i="2"/>
  <c r="P54" i="2"/>
  <c r="O54" i="2"/>
  <c r="Q53" i="2"/>
  <c r="P53" i="2"/>
  <c r="O53" i="2"/>
  <c r="Q52" i="2"/>
  <c r="P52" i="2"/>
  <c r="O52" i="2"/>
  <c r="Q51" i="2"/>
  <c r="P51" i="2"/>
  <c r="O51" i="2"/>
  <c r="Q50" i="2"/>
  <c r="P50" i="2"/>
  <c r="O50" i="2"/>
  <c r="Q49" i="2"/>
  <c r="P49" i="2"/>
  <c r="O49" i="2"/>
  <c r="Q48" i="2"/>
  <c r="P48" i="2"/>
  <c r="O48" i="2"/>
  <c r="Q47" i="2"/>
  <c r="P47" i="2"/>
  <c r="O47" i="2"/>
  <c r="Q46" i="2"/>
  <c r="P46" i="2"/>
  <c r="O46" i="2"/>
  <c r="Q45" i="2"/>
  <c r="P45" i="2"/>
  <c r="O45" i="2"/>
  <c r="Q44" i="2"/>
  <c r="P44" i="2"/>
  <c r="O44" i="2"/>
  <c r="Q43" i="2"/>
  <c r="P43" i="2"/>
  <c r="O43" i="2"/>
  <c r="Q42" i="2"/>
  <c r="P42" i="2"/>
  <c r="O42" i="2"/>
  <c r="Q41" i="2"/>
  <c r="P41" i="2"/>
  <c r="O41" i="2"/>
  <c r="Q40" i="2"/>
  <c r="P40" i="2"/>
  <c r="O40" i="2"/>
  <c r="Q39" i="2"/>
  <c r="P39" i="2"/>
  <c r="O39" i="2"/>
  <c r="Q38" i="2"/>
  <c r="P38" i="2"/>
  <c r="O38" i="2"/>
  <c r="Q37" i="2"/>
  <c r="P37" i="2"/>
  <c r="O37" i="2"/>
  <c r="Q36" i="2"/>
  <c r="P36" i="2"/>
  <c r="O36" i="2"/>
  <c r="Q35" i="2"/>
  <c r="P35" i="2"/>
  <c r="O35" i="2"/>
  <c r="Q34" i="2"/>
  <c r="P34" i="2"/>
  <c r="O34" i="2"/>
  <c r="Q33" i="2"/>
  <c r="P33" i="2"/>
  <c r="O33" i="2"/>
  <c r="Q32" i="2"/>
  <c r="P32" i="2"/>
  <c r="O32" i="2"/>
  <c r="Q31" i="2"/>
  <c r="P31" i="2"/>
  <c r="O31" i="2"/>
  <c r="Q30" i="2"/>
  <c r="P30" i="2"/>
  <c r="O30" i="2"/>
  <c r="Q29" i="2"/>
  <c r="P29" i="2"/>
  <c r="O29" i="2"/>
  <c r="Q28" i="2"/>
  <c r="P28" i="2"/>
  <c r="O28" i="2"/>
  <c r="Q27" i="2"/>
  <c r="P27" i="2"/>
  <c r="O27" i="2"/>
  <c r="Q26" i="2"/>
  <c r="P26" i="2"/>
  <c r="O26" i="2"/>
  <c r="Q25" i="2"/>
  <c r="P25" i="2"/>
  <c r="O25" i="2"/>
  <c r="Q24" i="2"/>
  <c r="P24" i="2"/>
  <c r="O24" i="2"/>
  <c r="Q23" i="2"/>
  <c r="P23" i="2"/>
  <c r="O23" i="2"/>
  <c r="Q22" i="2"/>
  <c r="P22" i="2"/>
  <c r="O22" i="2"/>
  <c r="Q21" i="2"/>
  <c r="P21" i="2"/>
  <c r="O21" i="2"/>
  <c r="Q20" i="2"/>
  <c r="P20" i="2"/>
  <c r="O20" i="2"/>
  <c r="Q19" i="2"/>
  <c r="P19" i="2"/>
  <c r="O19" i="2"/>
  <c r="Q18" i="2"/>
  <c r="P18" i="2"/>
  <c r="O18" i="2"/>
  <c r="Q17" i="2"/>
  <c r="P17" i="2"/>
  <c r="O17" i="2"/>
  <c r="Q16" i="2"/>
  <c r="P16" i="2"/>
  <c r="O16" i="2"/>
  <c r="Q15" i="2"/>
  <c r="P15" i="2"/>
  <c r="O15" i="2"/>
  <c r="Q14" i="2"/>
  <c r="P14" i="2"/>
  <c r="O14" i="2"/>
  <c r="Q13" i="2"/>
  <c r="P13" i="2"/>
  <c r="O13" i="2"/>
  <c r="Q12" i="2"/>
  <c r="P12" i="2"/>
  <c r="O12" i="2"/>
  <c r="Q11" i="2"/>
  <c r="P11" i="2"/>
  <c r="O11" i="2"/>
  <c r="Q10" i="2"/>
  <c r="P10" i="2"/>
  <c r="O10" i="2"/>
  <c r="Q9" i="2"/>
  <c r="P9" i="2"/>
  <c r="O9" i="2"/>
  <c r="Q8" i="2"/>
  <c r="P8" i="2"/>
  <c r="O8" i="2"/>
  <c r="Q7" i="2"/>
  <c r="P7" i="2"/>
  <c r="O7" i="2"/>
  <c r="Q6" i="2"/>
  <c r="P6" i="2"/>
  <c r="O6" i="2"/>
  <c r="Q5" i="2"/>
  <c r="P5" i="2"/>
  <c r="O5" i="2"/>
  <c r="Q4" i="2"/>
  <c r="P4" i="2"/>
  <c r="O4" i="2"/>
  <c r="Q3" i="2"/>
  <c r="Q885" i="2" s="1"/>
  <c r="P3" i="2"/>
  <c r="O3" i="2"/>
  <c r="O885" i="2" s="1"/>
  <c r="R1" i="2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2" i="1"/>
  <c r="G3" i="1"/>
  <c r="E3" i="1" s="1"/>
  <c r="G4" i="1"/>
  <c r="G5" i="1"/>
  <c r="E5" i="1" s="1"/>
  <c r="G6" i="1"/>
  <c r="G7" i="1"/>
  <c r="E7" i="1" s="1"/>
  <c r="G8" i="1"/>
  <c r="G9" i="1"/>
  <c r="G10" i="1"/>
  <c r="E10" i="1" s="1"/>
  <c r="G11" i="1"/>
  <c r="E11" i="1" s="1"/>
  <c r="G12" i="1"/>
  <c r="G13" i="1"/>
  <c r="G14" i="1"/>
  <c r="F14" i="1" s="1"/>
  <c r="G15" i="1"/>
  <c r="E15" i="1" s="1"/>
  <c r="G16" i="1"/>
  <c r="G17" i="1"/>
  <c r="E17" i="1" s="1"/>
  <c r="G18" i="1"/>
  <c r="G19" i="1"/>
  <c r="E19" i="1" s="1"/>
  <c r="G20" i="1"/>
  <c r="G21" i="1"/>
  <c r="E21" i="1" s="1"/>
  <c r="G22" i="1"/>
  <c r="E22" i="1" s="1"/>
  <c r="G23" i="1"/>
  <c r="E23" i="1" s="1"/>
  <c r="G24" i="1"/>
  <c r="G25" i="1"/>
  <c r="G26" i="1"/>
  <c r="F26" i="1" s="1"/>
  <c r="G27" i="1"/>
  <c r="E27" i="1" s="1"/>
  <c r="G28" i="1"/>
  <c r="G29" i="1"/>
  <c r="E29" i="1" s="1"/>
  <c r="G30" i="1"/>
  <c r="G31" i="1"/>
  <c r="E31" i="1" s="1"/>
  <c r="G32" i="1"/>
  <c r="E32" i="1" s="1"/>
  <c r="G33" i="1"/>
  <c r="E33" i="1" s="1"/>
  <c r="G34" i="1"/>
  <c r="E34" i="1" s="1"/>
  <c r="G35" i="1"/>
  <c r="E35" i="1" s="1"/>
  <c r="G36" i="1"/>
  <c r="G37" i="1"/>
  <c r="G38" i="1"/>
  <c r="F38" i="1" s="1"/>
  <c r="G39" i="1"/>
  <c r="E39" i="1" s="1"/>
  <c r="G40" i="1"/>
  <c r="G41" i="1"/>
  <c r="G42" i="1"/>
  <c r="G43" i="1"/>
  <c r="E43" i="1" s="1"/>
  <c r="G44" i="1"/>
  <c r="E44" i="1" s="1"/>
  <c r="G45" i="1"/>
  <c r="G46" i="1"/>
  <c r="E46" i="1" s="1"/>
  <c r="G47" i="1"/>
  <c r="E47" i="1" s="1"/>
  <c r="G48" i="1"/>
  <c r="G49" i="1"/>
  <c r="G50" i="1"/>
  <c r="F50" i="1" s="1"/>
  <c r="G51" i="1"/>
  <c r="E51" i="1" s="1"/>
  <c r="G52" i="1"/>
  <c r="G53" i="1"/>
  <c r="E53" i="1" s="1"/>
  <c r="G54" i="1"/>
  <c r="G55" i="1"/>
  <c r="E55" i="1" s="1"/>
  <c r="G56" i="1"/>
  <c r="E56" i="1" s="1"/>
  <c r="G57" i="1"/>
  <c r="E57" i="1" s="1"/>
  <c r="G58" i="1"/>
  <c r="E58" i="1" s="1"/>
  <c r="G59" i="1"/>
  <c r="E59" i="1" s="1"/>
  <c r="G60" i="1"/>
  <c r="G2" i="1"/>
  <c r="F2" i="1" s="1"/>
  <c r="E50" i="1" l="1"/>
  <c r="E38" i="1"/>
  <c r="E26" i="1"/>
  <c r="E14" i="1"/>
  <c r="E2" i="1"/>
  <c r="F49" i="1"/>
  <c r="F37" i="1"/>
  <c r="F25" i="1"/>
  <c r="F13" i="1"/>
  <c r="E49" i="1"/>
  <c r="E37" i="1"/>
  <c r="E25" i="1"/>
  <c r="E13" i="1"/>
  <c r="F60" i="1"/>
  <c r="F48" i="1"/>
  <c r="F36" i="1"/>
  <c r="F24" i="1"/>
  <c r="F12" i="1"/>
  <c r="E60" i="1"/>
  <c r="E48" i="1"/>
  <c r="E36" i="1"/>
  <c r="E24" i="1"/>
  <c r="E12" i="1"/>
  <c r="F59" i="1"/>
  <c r="F47" i="1"/>
  <c r="F35" i="1"/>
  <c r="F23" i="1"/>
  <c r="F11" i="1"/>
  <c r="F58" i="1"/>
  <c r="F46" i="1"/>
  <c r="F34" i="1"/>
  <c r="F22" i="1"/>
  <c r="F10" i="1"/>
  <c r="F57" i="1"/>
  <c r="F45" i="1"/>
  <c r="F33" i="1"/>
  <c r="F21" i="1"/>
  <c r="F9" i="1"/>
  <c r="E45" i="1"/>
  <c r="E9" i="1"/>
  <c r="F56" i="1"/>
  <c r="F44" i="1"/>
  <c r="F32" i="1"/>
  <c r="F20" i="1"/>
  <c r="F8" i="1"/>
  <c r="E20" i="1"/>
  <c r="E8" i="1"/>
  <c r="F55" i="1"/>
  <c r="F43" i="1"/>
  <c r="F31" i="1"/>
  <c r="F19" i="1"/>
  <c r="F7" i="1"/>
  <c r="F54" i="1"/>
  <c r="F42" i="1"/>
  <c r="F30" i="1"/>
  <c r="F18" i="1"/>
  <c r="F6" i="1"/>
  <c r="E54" i="1"/>
  <c r="E42" i="1"/>
  <c r="E30" i="1"/>
  <c r="E18" i="1"/>
  <c r="E6" i="1"/>
  <c r="F53" i="1"/>
  <c r="F41" i="1"/>
  <c r="F29" i="1"/>
  <c r="F17" i="1"/>
  <c r="F5" i="1"/>
  <c r="E41" i="1"/>
  <c r="F52" i="1"/>
  <c r="F40" i="1"/>
  <c r="F28" i="1"/>
  <c r="F16" i="1"/>
  <c r="F4" i="1"/>
  <c r="E52" i="1"/>
  <c r="E40" i="1"/>
  <c r="E28" i="1"/>
  <c r="E16" i="1"/>
  <c r="E4" i="1"/>
  <c r="F51" i="1"/>
  <c r="F39" i="1"/>
  <c r="F27" i="1"/>
  <c r="F15" i="1"/>
  <c r="F3" i="1"/>
</calcChain>
</file>

<file path=xl/sharedStrings.xml><?xml version="1.0" encoding="utf-8"?>
<sst xmlns="http://schemas.openxmlformats.org/spreadsheetml/2006/main" count="5477" uniqueCount="1900">
  <si>
    <t>Kod</t>
  </si>
  <si>
    <t>Stok</t>
  </si>
  <si>
    <t>Diğer Kartlar</t>
  </si>
  <si>
    <t>4T A•M•W</t>
  </si>
  <si>
    <t>Tek Çekim</t>
  </si>
  <si>
    <t>Nakit</t>
  </si>
  <si>
    <t>Açıklama</t>
  </si>
  <si>
    <t>Ürün Gamı</t>
  </si>
  <si>
    <t>UE50DU7000UXTK</t>
  </si>
  <si>
    <t>UE55DU7000UXTK</t>
  </si>
  <si>
    <t>UE75DU7100UXTK</t>
  </si>
  <si>
    <t>UE85DU7100UXTK</t>
  </si>
  <si>
    <t>QE55Q70DATXTK</t>
  </si>
  <si>
    <t>QE65Q60DAUXTK</t>
  </si>
  <si>
    <t>QE75Q70DATXTK</t>
  </si>
  <si>
    <t>QE65S95DATXTK</t>
  </si>
  <si>
    <t>QE55LS03DAUXTK</t>
  </si>
  <si>
    <t>QE65LS03DAUXTK</t>
  </si>
  <si>
    <t>QE75LS03DAUXTK</t>
  </si>
  <si>
    <t>SP-LFF3CLAXXTK</t>
  </si>
  <si>
    <t>VG-FBB3BA/ZN</t>
  </si>
  <si>
    <t>QE55LS03FAUXTK</t>
  </si>
  <si>
    <t>QE75LS03FWUXTK</t>
  </si>
  <si>
    <t>UE43U8000FUXTK</t>
  </si>
  <si>
    <t>UE50U8000FUXTK</t>
  </si>
  <si>
    <t>UE55U8000FUXTK</t>
  </si>
  <si>
    <t>UE65U8000FUXTK</t>
  </si>
  <si>
    <t>UE75U8000FUXTK</t>
  </si>
  <si>
    <t>UE85U8000FUXTK</t>
  </si>
  <si>
    <t>UE98DU9000UXTK</t>
  </si>
  <si>
    <t>QE55Q7F5AUXTK</t>
  </si>
  <si>
    <t>QE65Q7F5AUXTK</t>
  </si>
  <si>
    <t>QE75Q7F5AUXTK</t>
  </si>
  <si>
    <t>QE55QN70FAUXTK</t>
  </si>
  <si>
    <t>QE65QN70FAUXTK</t>
  </si>
  <si>
    <t>QE75QN70FAUXTK</t>
  </si>
  <si>
    <t>QE65QN90FATXTK</t>
  </si>
  <si>
    <t>QE75QN90FATXTK</t>
  </si>
  <si>
    <t>QE85QN70FAUXTK</t>
  </si>
  <si>
    <t>QE85QN90FATXTK</t>
  </si>
  <si>
    <t>QE98QN90FATXTK</t>
  </si>
  <si>
    <t>QE55S85FAUXTK</t>
  </si>
  <si>
    <t>QE55S90FAEXTK</t>
  </si>
  <si>
    <t>QE65S85FAEXTK</t>
  </si>
  <si>
    <t>QE65S90FATXTK</t>
  </si>
  <si>
    <t>QE65S95FATXTK</t>
  </si>
  <si>
    <t>QE77S85FAEXTK</t>
  </si>
  <si>
    <t>QE77S90FAEXTK</t>
  </si>
  <si>
    <t>QE77S95FATXTK</t>
  </si>
  <si>
    <t>QE83S85FAEXTK</t>
  </si>
  <si>
    <t>QE83S90FAEXTK</t>
  </si>
  <si>
    <t>HW-C400/TK</t>
  </si>
  <si>
    <t>HW-C450/TK</t>
  </si>
  <si>
    <t>HW-Q600C/TK</t>
  </si>
  <si>
    <t>HW-Q700C/TK</t>
  </si>
  <si>
    <t>HW-B650D/TK</t>
  </si>
  <si>
    <t>HW-Q800D/TK</t>
  </si>
  <si>
    <t>HW-Q990D/TK</t>
  </si>
  <si>
    <t>LS32DM702UUXUF</t>
  </si>
  <si>
    <t>LS43DM702UUXUF</t>
  </si>
  <si>
    <t>LS27BG652EUXUF</t>
  </si>
  <si>
    <t>LH13QBRMBGCXEN</t>
  </si>
  <si>
    <t>SEK-1000/XC</t>
  </si>
  <si>
    <t>VG-SCFA55TKBRU</t>
  </si>
  <si>
    <t>VG-SCFA65TKBRU</t>
  </si>
  <si>
    <t>VG-SCFA75TKBRU</t>
  </si>
  <si>
    <t>VG-SCFF75TKBZN</t>
  </si>
  <si>
    <t>S TV</t>
  </si>
  <si>
    <t>Stok No</t>
  </si>
  <si>
    <t>Aktif</t>
  </si>
  <si>
    <t>Stok Kodu</t>
  </si>
  <si>
    <t>Barkod</t>
  </si>
  <si>
    <t>Stok Adı</t>
  </si>
  <si>
    <t>Genel Adı</t>
  </si>
  <si>
    <t>TMiktar</t>
  </si>
  <si>
    <t>Miktar</t>
  </si>
  <si>
    <t>Emanet</t>
  </si>
  <si>
    <t>Takip Şekli</t>
  </si>
  <si>
    <t>Kdvli Alış Fiyatı</t>
  </si>
  <si>
    <t>Stok Tip Adı</t>
  </si>
  <si>
    <t>Marka</t>
  </si>
  <si>
    <t>Özel Kod</t>
  </si>
  <si>
    <t>STOK_NO</t>
  </si>
  <si>
    <t>AKTIF</t>
  </si>
  <si>
    <t>STOK_KODU</t>
  </si>
  <si>
    <t>BARKOD</t>
  </si>
  <si>
    <t>STOK_ADI</t>
  </si>
  <si>
    <t>STOK_ADI_GENEL</t>
  </si>
  <si>
    <t>TMIKTAR</t>
  </si>
  <si>
    <t>MIKTAR</t>
  </si>
  <si>
    <t>ASIPARIS_TMIKTAR</t>
  </si>
  <si>
    <t>TAKIP_SEKLI</t>
  </si>
  <si>
    <t>OLISTE_FIYATI_KDVLI</t>
  </si>
  <si>
    <t>STOK_TIP_ADI</t>
  </si>
  <si>
    <t>MARKA_ADI</t>
  </si>
  <si>
    <t>OZEL_KOD</t>
  </si>
  <si>
    <t>E</t>
  </si>
  <si>
    <t>BRE225/05</t>
  </si>
  <si>
    <t>..BRE 225/05</t>
  </si>
  <si>
    <t>BRE225/05 Epilatör Satinelle Advanced</t>
  </si>
  <si>
    <t>M</t>
  </si>
  <si>
    <t>KİŞİSEL BAKIM</t>
  </si>
  <si>
    <t>PHILIPS</t>
  </si>
  <si>
    <t>KÜÇÜK EV ALETLERİ</t>
  </si>
  <si>
    <t>BRE255/05</t>
  </si>
  <si>
    <t>..BRE 255/05</t>
  </si>
  <si>
    <t>BRE255/05 Epilatör Satinelle Advanced</t>
  </si>
  <si>
    <t>BRE700/05</t>
  </si>
  <si>
    <t>..BRE700/05</t>
  </si>
  <si>
    <t>BRE700/05 Epilatör</t>
  </si>
  <si>
    <t>DW60DB890FAPTR</t>
  </si>
  <si>
    <t>ANSB 60DB890</t>
  </si>
  <si>
    <t>DW60DB890FAPTR Bespoke Bulaşık Makinası</t>
  </si>
  <si>
    <t>ANK.YIKAYICILAR</t>
  </si>
  <si>
    <t>SAMSUNG</t>
  </si>
  <si>
    <t>ANKASTRE</t>
  </si>
  <si>
    <t>DW60DG550B00TR</t>
  </si>
  <si>
    <t>ANSB 60DG550B00</t>
  </si>
  <si>
    <t>DW60DG550B00TR Ankastre Bulaşık Makinası</t>
  </si>
  <si>
    <t>NK24C5070DS/UR</t>
  </si>
  <si>
    <t>ANSD 24C5070 DS</t>
  </si>
  <si>
    <t>NK24C5070DS/UR Davlumbaz</t>
  </si>
  <si>
    <t>ANK.DAVLUMBAZLAR</t>
  </si>
  <si>
    <t>NK24C5070US/UR</t>
  </si>
  <si>
    <t>ANSD 24C5070 UR</t>
  </si>
  <si>
    <t>NK24C5070US/UR Davlumbaz Inox</t>
  </si>
  <si>
    <t>NK24M1030IB/UR</t>
  </si>
  <si>
    <t>ANSD 24M1030 IB</t>
  </si>
  <si>
    <t>NK24M1030IB/UR Aspiratör Siyah</t>
  </si>
  <si>
    <t>ASPİRATÖR</t>
  </si>
  <si>
    <t>BEYAZ EŞYA</t>
  </si>
  <si>
    <t>NK24M1030IS/UR</t>
  </si>
  <si>
    <t>ANSD 24M1030 IS</t>
  </si>
  <si>
    <t>NK24M1030IS/UR Aspiratör</t>
  </si>
  <si>
    <t>NK24M3050PS/U1</t>
  </si>
  <si>
    <t>ANSD 24M3050PS/U1</t>
  </si>
  <si>
    <t>NK24M3050PS/U1 Davlumbaz Inox</t>
  </si>
  <si>
    <t>NK24M5060SS/UR</t>
  </si>
  <si>
    <t>ANSD 24M5060 SS</t>
  </si>
  <si>
    <t>NK24M5060SS/UR Davlumbaz</t>
  </si>
  <si>
    <t>NK24M5070BG/UR</t>
  </si>
  <si>
    <t>ANSD 24M5070 BG</t>
  </si>
  <si>
    <t>NK24M5070BG/UR Davlumbaz</t>
  </si>
  <si>
    <t>NK24M5070BS/UR</t>
  </si>
  <si>
    <t>ANSD 24M5070 BS</t>
  </si>
  <si>
    <t>NK24M5070BS/UR Davlumbaz</t>
  </si>
  <si>
    <t>NK24M5070CS/UR</t>
  </si>
  <si>
    <t>ANSD 24M5070 CS</t>
  </si>
  <si>
    <t>NK24M5070CS/UR Davlumbaz</t>
  </si>
  <si>
    <t>NK24M7060VW/TR</t>
  </si>
  <si>
    <t>ANSD 24M7060 VW</t>
  </si>
  <si>
    <t>NK24M7060VW/TR Beyaz Davlumbaz</t>
  </si>
  <si>
    <t>NK24N7060VB/TR</t>
  </si>
  <si>
    <t>ANSD 24N7060 VB</t>
  </si>
  <si>
    <t>NK24N7060VB/TR Davlumbaz</t>
  </si>
  <si>
    <t>HC6347BG/AND</t>
  </si>
  <si>
    <t>ANSD 6347 BG</t>
  </si>
  <si>
    <t>HC6347BG/AND Davlumbaz</t>
  </si>
  <si>
    <t>HC6390BG/AND</t>
  </si>
  <si>
    <t>ANSD 6390 BG</t>
  </si>
  <si>
    <t>HC6390BG/AND Davlumbaz</t>
  </si>
  <si>
    <t>NV60K3110BS/TR</t>
  </si>
  <si>
    <t>ANSF 60K3110 BS</t>
  </si>
  <si>
    <t>NV60K3110BS/TR Ankastre Inox Fırın</t>
  </si>
  <si>
    <t>ANK.FIRINLAR</t>
  </si>
  <si>
    <t>NV60K5140BB/TR</t>
  </si>
  <si>
    <t>ANSF 60K5140 BB</t>
  </si>
  <si>
    <t>NV60K5140BB/TR Ankastre Siyah Fırın</t>
  </si>
  <si>
    <t>NV60K5140BW/TR</t>
  </si>
  <si>
    <t>ANSF 60K5140 BW</t>
  </si>
  <si>
    <t>NV60K5140BW/TR Ankastre Beyaz Fırın</t>
  </si>
  <si>
    <t>NV60K7140BB/TR</t>
  </si>
  <si>
    <t>ANSF 60K7140 BB</t>
  </si>
  <si>
    <t>NV60K7140BB/TR Ankastre Siyah Fırın</t>
  </si>
  <si>
    <t>NV60M7140BW/TR</t>
  </si>
  <si>
    <t>ANSF 60M7140 BW</t>
  </si>
  <si>
    <t>NV60M7140BW/TR Ankastre Beyaz Fırın</t>
  </si>
  <si>
    <t>NV7B4420ZAK/TR</t>
  </si>
  <si>
    <t>ANSF NV7B4420ZAK</t>
  </si>
  <si>
    <t>NV7B4420ZAK/TR Ankastre Fırın siyah</t>
  </si>
  <si>
    <t>NV7B4520ZAS/TR</t>
  </si>
  <si>
    <t>ANSF NV7B4520ZAS</t>
  </si>
  <si>
    <t>NV7B4520ZAS/TR Ankastre Fırın İnoks</t>
  </si>
  <si>
    <t>NV7B56458AE/TR</t>
  </si>
  <si>
    <t>ANSF NV7B56458AE</t>
  </si>
  <si>
    <t>NV7B56458AE/TR Ankastre Fırın beyaz</t>
  </si>
  <si>
    <t>NV7B6665IAN/TR</t>
  </si>
  <si>
    <t>ANSF NV7B6665IAN</t>
  </si>
  <si>
    <t>NV7B6665IAN/TR Ankastre Fırın lacivert</t>
  </si>
  <si>
    <t>CTR164NC01/XTR</t>
  </si>
  <si>
    <t>ANSO 164NC01/XTR</t>
  </si>
  <si>
    <t>CTR164NC01/XTR Ankastre Ocak Elektrikli</t>
  </si>
  <si>
    <t>ANK.OCAKLAR</t>
  </si>
  <si>
    <t>CTR464EB01/XTR</t>
  </si>
  <si>
    <t>ANSO 464EB01 X</t>
  </si>
  <si>
    <t>CTR464EB01X/TR Ankastre Ocak Elektrikli</t>
  </si>
  <si>
    <t>NA64B3100AS/TR</t>
  </si>
  <si>
    <t>ANSO 64B3100AS</t>
  </si>
  <si>
    <t>NA64B3100AS/TR Ankastre Ocak Inox</t>
  </si>
  <si>
    <t>NA64H3010AK/TR</t>
  </si>
  <si>
    <t>ANSO 64H3010 AK</t>
  </si>
  <si>
    <t>NA64H3010AK/TR Ankastre Ocak Siyah</t>
  </si>
  <si>
    <t>NA64H3030AS/TR</t>
  </si>
  <si>
    <t>ANSO 64H3030 AS</t>
  </si>
  <si>
    <t>NA64H3030AS/TR Ankastre Ocak Inox Wok</t>
  </si>
  <si>
    <t>NA64H3110AS/TR</t>
  </si>
  <si>
    <t>ANSO 64H3110 AS</t>
  </si>
  <si>
    <t>NA64H3110AS/TR Ankastre Ocak Inox</t>
  </si>
  <si>
    <t>NA64M7100AW/TR</t>
  </si>
  <si>
    <t>ANSO 64M7100 AW</t>
  </si>
  <si>
    <t>NA64M7100AW/TR Ankastre Ocak Beyaz</t>
  </si>
  <si>
    <t>NA64N7100AB/TR</t>
  </si>
  <si>
    <t>ANSO 64N7100 AB</t>
  </si>
  <si>
    <t>NA64N7100AB/TR Ankastre Ocak Siyah</t>
  </si>
  <si>
    <t>HB76P570</t>
  </si>
  <si>
    <t>AS HB 76P570</t>
  </si>
  <si>
    <t>HB 76P570 Fırın Inox-Asansörlü</t>
  </si>
  <si>
    <t>SIEMENS</t>
  </si>
  <si>
    <t>ANKASTRE MODUL B</t>
  </si>
  <si>
    <t>ASE BM MODÜL</t>
  </si>
  <si>
    <t>Ankastre Modül Beyaz</t>
  </si>
  <si>
    <t>ANK.AKSESUAR</t>
  </si>
  <si>
    <t>OEM</t>
  </si>
  <si>
    <t>MG22M8054AW/TR</t>
  </si>
  <si>
    <t>ASM 22M8054AW</t>
  </si>
  <si>
    <t>MG22M8054AW/TR Ankastre Mikrodalga</t>
  </si>
  <si>
    <t>ANK.MİKRODALGALAR</t>
  </si>
  <si>
    <t>ASP SP-LFF3CLAXXTK</t>
  </si>
  <si>
    <t>SP-LFF3CLAXXTK The Freestyle 2. Nesil Projeksiyon</t>
  </si>
  <si>
    <t>..TELEVİZYONLAR</t>
  </si>
  <si>
    <t>ELEKTRONİK</t>
  </si>
  <si>
    <t>ASP VG-FBB3BA/ZN</t>
  </si>
  <si>
    <t>VG-FBB3BA/ZN BATTERY</t>
  </si>
  <si>
    <t>ELEKTRONİK AKSESUAR</t>
  </si>
  <si>
    <t>AKSESUAR</t>
  </si>
  <si>
    <t>ASV SA 6002 B</t>
  </si>
  <si>
    <t>SA 6002 B Gömme Aspiratör</t>
  </si>
  <si>
    <t>VESTEL</t>
  </si>
  <si>
    <t>AVB BMA 4202 X</t>
  </si>
  <si>
    <t xml:space="preserve">BMA 4202 X WIFI Bulaşık Makinesi Yarım Ankastre </t>
  </si>
  <si>
    <t>AVB BMA 9001</t>
  </si>
  <si>
    <t>BMA 9001 Ankastre Bulaşık Makinesi</t>
  </si>
  <si>
    <t>AVD AD-6001 S</t>
  </si>
  <si>
    <t>AD-6001 S Ankastre Davlumbaz Siyah -60cm</t>
  </si>
  <si>
    <t>AVD AD-6001 X</t>
  </si>
  <si>
    <t>AD-6001 X Ankastre Davlumbaz Inox-60cm</t>
  </si>
  <si>
    <t>AVD AD-60030 B</t>
  </si>
  <si>
    <t>AD-60030 B Ankastre Davlumbaz 60Cm-Beyaz</t>
  </si>
  <si>
    <t>AVD AD-60030 S</t>
  </si>
  <si>
    <t>AD-60030 S Ankastre Davlumbaz 60Cm-Siyah</t>
  </si>
  <si>
    <t>AVD AD-60041 RB</t>
  </si>
  <si>
    <t>AD-60041 RB Rustik Ankastre Beyaz Davlumbaz -60cm</t>
  </si>
  <si>
    <t>AVD AD-60041 RS</t>
  </si>
  <si>
    <t>AD-60041 RS Rustik Ankastre Siyah Davlumbaz -60cm</t>
  </si>
  <si>
    <t>AVD AD-6011 S</t>
  </si>
  <si>
    <t>AD-6011 S Ankastre Davlumbaz Siyah-60cm</t>
  </si>
  <si>
    <t>AVD AD-6321 YS</t>
  </si>
  <si>
    <t>AD-6321 YS Ankastre Davlumbaz</t>
  </si>
  <si>
    <t>AVD AD-63330 B</t>
  </si>
  <si>
    <t>AD-63330 B Ankastre Davlumbaz 60Cm-Beyaz</t>
  </si>
  <si>
    <t>AVD AD-63330 G</t>
  </si>
  <si>
    <t>AD-63330 G Ankastre Davlumbaz 60Cm-Gri</t>
  </si>
  <si>
    <t>AVD AD-63340 B</t>
  </si>
  <si>
    <t>AD-63340 B Ankastre Davlumbaz 60Cm-Beyaz</t>
  </si>
  <si>
    <t>AVD AD-63340 G</t>
  </si>
  <si>
    <t>AD-63340 G Ankastre Davlumbaz 60Cm-Gri</t>
  </si>
  <si>
    <t>AVD AD-63340 S</t>
  </si>
  <si>
    <t>AD-63340 S Ankastre Davlumbaz 60Cm-Siyah</t>
  </si>
  <si>
    <t>AVD AD-93320 G</t>
  </si>
  <si>
    <t>AD-93320 G Ankastre Davlumbaz 90Cm Gri</t>
  </si>
  <si>
    <t>AVD AD-93320 S</t>
  </si>
  <si>
    <t>AD-93320 S Ankastre Davlumbaz 90Cm Siyah</t>
  </si>
  <si>
    <t>AVD AD 6331 S</t>
  </si>
  <si>
    <t>AD-6331 S Ankastre Davlumbaz 60Cm-Siyah</t>
  </si>
  <si>
    <t>AVD ADB-6004</t>
  </si>
  <si>
    <t>ADB-6004 Davlumbaz Siyah-60cm</t>
  </si>
  <si>
    <t>AVD ADB 6307</t>
  </si>
  <si>
    <t>ADB-6307 Ankastre Davlumbaz -60cm</t>
  </si>
  <si>
    <t>AVDAD-93320 B</t>
  </si>
  <si>
    <t>AD-93320 B Ankastre Davlumbaz 90Cm-Beyaz</t>
  </si>
  <si>
    <t>AVF 5661 YB</t>
  </si>
  <si>
    <t>AF 5661 YB Ankastre Fırın Beyaz</t>
  </si>
  <si>
    <t>AVF 5661 YX</t>
  </si>
  <si>
    <t>AF 5661 YX Ankastre Fırın Inoks</t>
  </si>
  <si>
    <t>AVF 8685 YS</t>
  </si>
  <si>
    <t>AF-8685 YS Ankastre Siyah Fırın</t>
  </si>
  <si>
    <t>AVF 9786 YG</t>
  </si>
  <si>
    <t>AF-9786 YG Ankastre Gri Fırın</t>
  </si>
  <si>
    <t>AVF 9786 YS</t>
  </si>
  <si>
    <t>AF-9786 YS Ankastre Siyah Fırın</t>
  </si>
  <si>
    <t>AVF AF-107892 KX WIFI</t>
  </si>
  <si>
    <t>AF-107892 KX WIFI Ankastre Fırın Koyu Inox</t>
  </si>
  <si>
    <t>AVF AF-107892 X WIFI</t>
  </si>
  <si>
    <t>AF-107892 X WIFI Ankastre Fırın</t>
  </si>
  <si>
    <t>AVF AF-5621 B</t>
  </si>
  <si>
    <t>AF-5621 B Ankastre Beyaz Fırın</t>
  </si>
  <si>
    <t>AVF AF-6682 B-LF</t>
  </si>
  <si>
    <t>AF-6682 B-LF Ankastre Beyaz Fırın</t>
  </si>
  <si>
    <t>AVF AF-6682 YS</t>
  </si>
  <si>
    <t>AF-6682 YS Ankastre Siyah Fırın</t>
  </si>
  <si>
    <t>AVF AF-7688 RB Rustik</t>
  </si>
  <si>
    <t>AF-7688 RB Rustik Ankastre Beyaz Fırın</t>
  </si>
  <si>
    <t>AVF AF-7688 RS Rustik</t>
  </si>
  <si>
    <t>AF-7688 RS Rustik Ankastre Siyah Fırın</t>
  </si>
  <si>
    <t>AVF AF-861052 B</t>
  </si>
  <si>
    <t>AF-861052 B WIFI Ankastre Beyaz Fırın</t>
  </si>
  <si>
    <t>AVF AF-861052 G</t>
  </si>
  <si>
    <t>AF-861052 G WIFI Ankastre Gri Fırın</t>
  </si>
  <si>
    <t>AVF AF-861052 S</t>
  </si>
  <si>
    <t>AF-861052 S WIFI Ankastre Siyah Fırın</t>
  </si>
  <si>
    <t>AVF AF-8785 G</t>
  </si>
  <si>
    <t>AF-8785 G Ankastre Gri Fırın</t>
  </si>
  <si>
    <t>AVF AF-8785 S</t>
  </si>
  <si>
    <t>AF-8785 S Ankastre Siyah Fırın</t>
  </si>
  <si>
    <t>AVF AF-8785 YB</t>
  </si>
  <si>
    <t>AF-8785 YB Ankastre Beyaz Fırın</t>
  </si>
  <si>
    <t>AVF AF-8785 YS</t>
  </si>
  <si>
    <t>AF-8785 YS Ankastre Siyah Fırın</t>
  </si>
  <si>
    <t>AVF AFV-7684</t>
  </si>
  <si>
    <t>AFV 7684 Ankastre Fırın Vizyon</t>
  </si>
  <si>
    <t>AVF 7684 YB</t>
  </si>
  <si>
    <t>AF-7684 YB Ankastre Fırın Beyaz</t>
  </si>
  <si>
    <t>AVF 7684 YG</t>
  </si>
  <si>
    <t>AF-7684 YG Ankastre Fırın Gri</t>
  </si>
  <si>
    <t>AVF 7684 YS</t>
  </si>
  <si>
    <t>AF-7684 YS Ankastre Fırın Siyah</t>
  </si>
  <si>
    <t>AVF AF-6653 B-P</t>
  </si>
  <si>
    <t>AF-6653 B-P Ankastre Fırın</t>
  </si>
  <si>
    <t>AVF AF-6653 S</t>
  </si>
  <si>
    <t>AF-6653 S Ankastre Fırın Siyah</t>
  </si>
  <si>
    <t>AVF AF-7787 S</t>
  </si>
  <si>
    <t>AF-7787 S Ankastre Fırın Siyah</t>
  </si>
  <si>
    <t>AVM 2011 X</t>
  </si>
  <si>
    <t>AMD-2011 X Ankastre Mikrodalga Inox</t>
  </si>
  <si>
    <t>AVM AMD-2011 S</t>
  </si>
  <si>
    <t>AMD-2011 S ANKASTRE MİKRODALGA FIRIN SİYAH</t>
  </si>
  <si>
    <t>AVS 6004 YB-DG</t>
  </si>
  <si>
    <t>AO-6004 YB-DG Beyaz Gazlı Ocak 4G-60cm</t>
  </si>
  <si>
    <t>AVS 6104 YB-DG</t>
  </si>
  <si>
    <t>AO-6104 YB-DG Ankastre Ocak 4G-60 Cm Beyaz</t>
  </si>
  <si>
    <t>AVS 6104 YS</t>
  </si>
  <si>
    <t>AO-6104 YS Ankastre Ocak 4G-60 Cm Siyah</t>
  </si>
  <si>
    <t>AVS 6104 YS-DG</t>
  </si>
  <si>
    <t>AO-6104 YS-DG Ankastre Ocak 4G-60 Cm Siyah</t>
  </si>
  <si>
    <t>AVS 6470 S-K</t>
  </si>
  <si>
    <t>AO-6470 S-K Ankastre Ocak Cam Elektrikli 4E Indiksiyonlu</t>
  </si>
  <si>
    <t>AVS 65104 Gri</t>
  </si>
  <si>
    <t>AO-65104 G Ankastre Ocak 4G-65 Cm Gri</t>
  </si>
  <si>
    <t>AVS 65104 S-DG Siyah</t>
  </si>
  <si>
    <t>AO-65104 S-DG Ankastre Ocak 4G-65 Cm Siyah</t>
  </si>
  <si>
    <t>AVS 65104 Siyah</t>
  </si>
  <si>
    <t>AO-65104 S Ankastre Ocak 4G-65 Cm Siyah</t>
  </si>
  <si>
    <t>AVS 71159 B DG-W</t>
  </si>
  <si>
    <t>AO-71159 B DG-W Ankastre Ocak</t>
  </si>
  <si>
    <t>AVS 71159 YS-W</t>
  </si>
  <si>
    <t>AO-71159 YS-W Ankastre Ocak</t>
  </si>
  <si>
    <t xml:space="preserve">AVS 91159 YB-DW </t>
  </si>
  <si>
    <t>AO-91159 YB-DW Beyaz Ankastre Ocak</t>
  </si>
  <si>
    <t>AVS 91159 YG-DW</t>
  </si>
  <si>
    <t>AO-91159 YG-DW Gri Ankastre Ocak</t>
  </si>
  <si>
    <t>AVS 91159 YS-DW</t>
  </si>
  <si>
    <t>AO-91159 YS-DW Siyah Ankastre Ocak</t>
  </si>
  <si>
    <t>AVS AO-6003 S</t>
  </si>
  <si>
    <t>AO-6003 S Ankastre Ocak 3G+1E Siyah</t>
  </si>
  <si>
    <t>AVS AO-6003 YB</t>
  </si>
  <si>
    <t>AO-6003 YB Ankastre Ocak 3G+1E Beyaz</t>
  </si>
  <si>
    <t>AVS AO-6014 Beyaz</t>
  </si>
  <si>
    <t>AO-6014 B Beyaz Ankastre Ocak</t>
  </si>
  <si>
    <t>AVS AO-6104 YRB Beyaz</t>
  </si>
  <si>
    <t>AO-6104 YRB Ankastre Ocak</t>
  </si>
  <si>
    <t>AVS AO-6104 YRS DG Siyah</t>
  </si>
  <si>
    <t>AO-6104 YRS-DG Ankastre Ocak 4G-60 Cm Siyah</t>
  </si>
  <si>
    <t>AVS AO-6104 YRS Siyah</t>
  </si>
  <si>
    <t>AO-6104 YRS Ankastre Ocak 4G-60 Cm Siyah</t>
  </si>
  <si>
    <t>AVS AO-65104 B DG-T</t>
  </si>
  <si>
    <t>AO-65104 B DG-T Ankastre Ocak Beyaz</t>
  </si>
  <si>
    <t>AVS AO-65104 BDG-DW</t>
  </si>
  <si>
    <t>AO-65104 BDG-DW Ankastre Ocak Beyaz</t>
  </si>
  <si>
    <t>AVS AO-65104 G-T</t>
  </si>
  <si>
    <t>AO-65104 G-T Ankastre Ocak 4G-65 Cm Gri</t>
  </si>
  <si>
    <t>AVS AOW-6123</t>
  </si>
  <si>
    <t>AOW-6123 Ankastre Ocak 3G+1E Beyaz</t>
  </si>
  <si>
    <t>AW AKR 957</t>
  </si>
  <si>
    <t>AKR 957 IX Davlumbaz Inox-90cm</t>
  </si>
  <si>
    <t>WHIRLPOOL</t>
  </si>
  <si>
    <t>AW AKR 958</t>
  </si>
  <si>
    <t>AKR 958 IX Davlumbaz Inox-90cm</t>
  </si>
  <si>
    <t>AW AKR 978</t>
  </si>
  <si>
    <t>AKR 978 IX Davlumbaz Inox-90cm</t>
  </si>
  <si>
    <t>AKT325</t>
  </si>
  <si>
    <t>AW AKT 325</t>
  </si>
  <si>
    <t>AKT 325 IX Çelik Izgara 30cm</t>
  </si>
  <si>
    <t>WD140/IX</t>
  </si>
  <si>
    <t>AWS 140/IX</t>
  </si>
  <si>
    <t>WD 140/IX Sıcak Tutma Çekmecesi-15cm</t>
  </si>
  <si>
    <t>BASKV Cam Tartı</t>
  </si>
  <si>
    <t>Dijital Cam Tartı</t>
  </si>
  <si>
    <t>RB34A6B0EAP/TR</t>
  </si>
  <si>
    <t>BDS 34A6B0EAP</t>
  </si>
  <si>
    <t>RB34A6B0EAP/TR Bespoke NoFrost Kombi Buzdolabı</t>
  </si>
  <si>
    <t>.BUZDOLAPLARI</t>
  </si>
  <si>
    <t>RB34C6B0E12/TR</t>
  </si>
  <si>
    <t>BDS 34C6B0E12/TR</t>
  </si>
  <si>
    <t>RB34C6B0E12/TR Bespoke NoFrost Kombi Buzdolabı</t>
  </si>
  <si>
    <t>RB45DG600ES9TR</t>
  </si>
  <si>
    <t>BDS 45DG600ES9</t>
  </si>
  <si>
    <t>RB45DG600ES9TR NoFrost Buzdolabı</t>
  </si>
  <si>
    <t>RT47CB663622TR</t>
  </si>
  <si>
    <t>BDS 47CB663622TR</t>
  </si>
  <si>
    <t>RT47CB663622TR NoFrost Buzdolabı</t>
  </si>
  <si>
    <t>RT47CB66368ATR</t>
  </si>
  <si>
    <t>BDS 47CB66368ATR</t>
  </si>
  <si>
    <t>RT47CB66368ATR NoFrost Buzdolabı</t>
  </si>
  <si>
    <t>RT47CG6636S9TR</t>
  </si>
  <si>
    <t>BDS 47CG6636S9</t>
  </si>
  <si>
    <t>RT47CG6636S9TR NoFrost Buzdolabı Inox</t>
  </si>
  <si>
    <t>RT47CG6636WWTR</t>
  </si>
  <si>
    <t>BDS 47CG6636WW</t>
  </si>
  <si>
    <t>RT47CG6636WWTR NoFrost Buzdolabı</t>
  </si>
  <si>
    <t>RF49A5002SR/TR</t>
  </si>
  <si>
    <t>BDS 49A5002SR Inox</t>
  </si>
  <si>
    <t>RF49A5002SR/TR NoFrost Buzdolabı Gardırop-Inox</t>
  </si>
  <si>
    <t>RB50DG601EB1TR</t>
  </si>
  <si>
    <t>BDS 50DG601EB1</t>
  </si>
  <si>
    <t>RB50DG601EB1TR NoFrost Buzdolabı</t>
  </si>
  <si>
    <t>RB50DG601ES9TR</t>
  </si>
  <si>
    <t>BDS 50DG601ES9</t>
  </si>
  <si>
    <t>RB50DG601ES9TR NoFrost Buzdolabı</t>
  </si>
  <si>
    <t>RB50DG601EWWTR</t>
  </si>
  <si>
    <t>BDS 50DG601EWW</t>
  </si>
  <si>
    <t>RB50DG601EWWTR NoFrost Buzdolabı</t>
  </si>
  <si>
    <t>RT50K600PS9/TR</t>
  </si>
  <si>
    <t>BDS 50K600PS9</t>
  </si>
  <si>
    <t>RT50K600PS9/TR İnox-NoFrost Buzdolabı</t>
  </si>
  <si>
    <t>RT53DG7A14S9TR</t>
  </si>
  <si>
    <t>BDS 53DG7A14 S9</t>
  </si>
  <si>
    <t>RT53DG7A14S9TR NoFrost Buzdolabı</t>
  </si>
  <si>
    <t>RT53DG7A14WWTR</t>
  </si>
  <si>
    <t>BDS 53DG7A14WW</t>
  </si>
  <si>
    <t>RT53DG7A14WWTR NoFrost Buzdolabı</t>
  </si>
  <si>
    <t>RT53DG7A64S9TR</t>
  </si>
  <si>
    <t>BDS 53DG7A64 S9</t>
  </si>
  <si>
    <t>RT53DG7A64S9TR NoFrost Buzdolabı</t>
  </si>
  <si>
    <t>RT53K603PS9/TR</t>
  </si>
  <si>
    <t>BDS 53K603PS9</t>
  </si>
  <si>
    <t>RT53K603PS9/TR NoFrost Buzdolabı</t>
  </si>
  <si>
    <t>RF57C510ESR/TR</t>
  </si>
  <si>
    <t>BDS 57C510ESR/TR</t>
  </si>
  <si>
    <t>RF57C510ESR/TR NoFrost Buzdolabı Gardırop-Inox</t>
  </si>
  <si>
    <t>RB58DS75ESA/TR</t>
  </si>
  <si>
    <t>BDS 58DS75ESA/TR</t>
  </si>
  <si>
    <t>RB58DS75ESA/TR NoFrost Buzdolabı</t>
  </si>
  <si>
    <t>RB58DS75EWW/TR</t>
  </si>
  <si>
    <t>BDS 58DS75EWW</t>
  </si>
  <si>
    <t>RB58DS75EWW/TR NoFrost Buzdolabı</t>
  </si>
  <si>
    <t>RT58K704RSL/TR</t>
  </si>
  <si>
    <t>BDS 58K704R SL</t>
  </si>
  <si>
    <t>RT58K704RSL/TR NoFrost Buzdolabı</t>
  </si>
  <si>
    <t>RT58K704RWW/TR</t>
  </si>
  <si>
    <t>BDS 58K704R WW</t>
  </si>
  <si>
    <t>RT58K704RWW/TR NoFrost Buzdolabı</t>
  </si>
  <si>
    <t>RT62K704RSL/TR</t>
  </si>
  <si>
    <t>BDS 62K704R SL</t>
  </si>
  <si>
    <t>RT62K704RSL/TR NoFrost Inox Buzdolabı</t>
  </si>
  <si>
    <t>RT62K704RWW/TR</t>
  </si>
  <si>
    <t>BDS 62K704R WW</t>
  </si>
  <si>
    <t>RT62K704RWW/TR NoFrost Buzdolabı</t>
  </si>
  <si>
    <t>RF65DG90BESLTR</t>
  </si>
  <si>
    <t>BDS 65DG90BESLTR</t>
  </si>
  <si>
    <t>RF65DG90BESLTR NoFrost Buzdolabı Gardırop-Inox</t>
  </si>
  <si>
    <t>RS70F65QEFTR</t>
  </si>
  <si>
    <t>BDS 70F65QEF</t>
  </si>
  <si>
    <t>RS70F65QEFTR NoFrost Buzdolabı Gardrop</t>
  </si>
  <si>
    <t>RS70F65QETTR</t>
  </si>
  <si>
    <t>BDS 70F65QET</t>
  </si>
  <si>
    <t>RS70F65QETTR NoFrost Buzdolabı Gardrop</t>
  </si>
  <si>
    <t>RF71DB965E8CTR</t>
  </si>
  <si>
    <t>BDS 71DB965E8CTR</t>
  </si>
  <si>
    <t>RF71DB965E8CTR Gardırop Tipi No Frost Bespoke Buzdolabı</t>
  </si>
  <si>
    <t>RF71DG90BESLTR</t>
  </si>
  <si>
    <t>BDS 71DG90BESLTR</t>
  </si>
  <si>
    <t>RF71DG90BESLTR Gardırop Tipi No Frost Buzdolabı</t>
  </si>
  <si>
    <t>RZ20DG3001WWTR</t>
  </si>
  <si>
    <t>BDSD 20DG3001WWTR Çekmeceli</t>
  </si>
  <si>
    <t>RZ20DG3001WWTR 6 Çekmeceli Derin Dondurucu</t>
  </si>
  <si>
    <t>.DONDURUCULAR</t>
  </si>
  <si>
    <t>BDV NF52011 X</t>
  </si>
  <si>
    <t>NF52011 X No-Frost Buzdolabı</t>
  </si>
  <si>
    <t>BDV NF52111</t>
  </si>
  <si>
    <t>NF52111 No-Frost Buzdolabı</t>
  </si>
  <si>
    <t>BDV NFK5402 E GI WIFI</t>
  </si>
  <si>
    <t>NFK5402 E A++ GI WIFI Buzdolabı</t>
  </si>
  <si>
    <t>BDVA NF60011 GI PRO</t>
  </si>
  <si>
    <t>NF60011 GI PRO Buzdolabı</t>
  </si>
  <si>
    <t>BDVA NF60012 E GI PRO WIFI</t>
  </si>
  <si>
    <t>NF60012 E GI PRO WIFI Buzdolabı</t>
  </si>
  <si>
    <t>BDVA NF60012 EX GI PRO WIFI</t>
  </si>
  <si>
    <t>NF60012 EX GI PRO WIFI Buzdolabı</t>
  </si>
  <si>
    <t>BDVA NF64012 E GI PRO WIFI</t>
  </si>
  <si>
    <t>NF64012 E GI PRO WIFI Buzdolabı</t>
  </si>
  <si>
    <t>BDVA NF64012 EX ION WIFI</t>
  </si>
  <si>
    <t>NF64012 EX ION Wifi Buzdolabı</t>
  </si>
  <si>
    <t>BDVA NF6402 EX ION WIFI</t>
  </si>
  <si>
    <t>NF6402 EX A++ ION Wifi Buzdolabı</t>
  </si>
  <si>
    <t>BDVA NFK52011</t>
  </si>
  <si>
    <t>NFK52011 No-Frost Buzdolabı</t>
  </si>
  <si>
    <t>BDVA NFK52102 E WIFI</t>
  </si>
  <si>
    <t>NFK52102 E WIFI No-Frost Buzdolabı</t>
  </si>
  <si>
    <t>BDVA NFK52112 EX</t>
  </si>
  <si>
    <t>NFK52112 EX WIFI No-Frost Buzdolabı</t>
  </si>
  <si>
    <t>BDVA NFK60011 TE</t>
  </si>
  <si>
    <t>NFK60011 TE Buzdolabı</t>
  </si>
  <si>
    <t>BDVA NFK60012 EX GI Pro WIFI</t>
  </si>
  <si>
    <t>NFK60012 EX GI Pro WIFI No-Frost Buzdolabı</t>
  </si>
  <si>
    <t>BDVA NFK60112 E GI PRO WIFI</t>
  </si>
  <si>
    <t>NFK60112 E GI PRO WIFI No-Frost Buzdolabı</t>
  </si>
  <si>
    <t>BDVA NFK60112 EX GI PRO WIFI</t>
  </si>
  <si>
    <t>NFK60112 EX GI PRO WIFI No-Frost Buzdolabı</t>
  </si>
  <si>
    <t>BDVA NFK64012 E GI PRO WIFI Yeni</t>
  </si>
  <si>
    <t xml:space="preserve">NFK64012 E GI PRO WIFI Buzdolabı </t>
  </si>
  <si>
    <t>BDVA NFK64012 EX GI PRO WIFI</t>
  </si>
  <si>
    <t>NFK64012 EX GI PRO WIFI Buzdolabı Inox</t>
  </si>
  <si>
    <t>BDVA NFK64022 EX GI PRO WIFI</t>
  </si>
  <si>
    <t>NFK64022 EX GI PRO WIFI Buzdolabı Inox</t>
  </si>
  <si>
    <t>BDVA NFK72022 E GI PRO WIFI</t>
  </si>
  <si>
    <t>NFK72022 E GI PRO WIFI No-Frost Buzdolabı</t>
  </si>
  <si>
    <t>BDVA NFK72022 EX GI PRO WIFI</t>
  </si>
  <si>
    <t>NFK72022 EX GI PRO WIFI No-Frost Buzdolabı</t>
  </si>
  <si>
    <t>BDVB 9001</t>
  </si>
  <si>
    <t>SB9001 Büro Tipi Buzdolabı</t>
  </si>
  <si>
    <t>BÜRO TİPİ BUZDOLAPI</t>
  </si>
  <si>
    <t>BDVB MB4001</t>
  </si>
  <si>
    <t>MB4001 Minibar Buzdolabı</t>
  </si>
  <si>
    <t>BDVD 15001</t>
  </si>
  <si>
    <t>SD15001 Sandık Tipi Derin dondurucu</t>
  </si>
  <si>
    <t>BDVD 30001 DUAL</t>
  </si>
  <si>
    <t>SD30001 DUAL A+ Sandık Tipi Derin dondurucu</t>
  </si>
  <si>
    <t xml:space="preserve">BDVD 600 E </t>
  </si>
  <si>
    <t>CDM600 E Dikey Derin Dondurucu</t>
  </si>
  <si>
    <t>BDVD 601</t>
  </si>
  <si>
    <t>CDL601 Çekmeceli Dikey Derin Dondurucu</t>
  </si>
  <si>
    <t>BDVD 601 E NF</t>
  </si>
  <si>
    <t>CDL601 E NF Dikey Derin Dondurucu</t>
  </si>
  <si>
    <t>BDVD 701 E NF</t>
  </si>
  <si>
    <t>CDL701 E NF Dikey Derin Dondurucu 7 Çekmeceli</t>
  </si>
  <si>
    <t>BDVD 701 E NF DuoMode</t>
  </si>
  <si>
    <t>CDL701 E NF DuoMode Dikey Derin Dondurucu 7 Çekmeceli</t>
  </si>
  <si>
    <t>BDVD CDL701 EX NF</t>
  </si>
  <si>
    <t>CDL701 EX NF Dikey Derin Dondurucu 7 Çekmeceli</t>
  </si>
  <si>
    <t>BDVD CDL801 E NF DuoMode</t>
  </si>
  <si>
    <t>CDL801 E NF DuoMode Dikey Derin Dondurucu 8 Çekmeceli</t>
  </si>
  <si>
    <t>BDVD SD40211 DuoMode</t>
  </si>
  <si>
    <t>SD40211 DuoMode Sandık Tipi Derin Dondurucu</t>
  </si>
  <si>
    <t>BDVE NF48011 X</t>
  </si>
  <si>
    <t>NF48011 X 434 Lt No-Frost Buzdolabı</t>
  </si>
  <si>
    <t>BDVE NFK48011 X</t>
  </si>
  <si>
    <t>NFK48011 X No-Frost Buzdolabı</t>
  </si>
  <si>
    <t>BDVG FD56001 E</t>
  </si>
  <si>
    <t>FD56001 E Gardırop Tipi Buzdolabı</t>
  </si>
  <si>
    <t>BDVG FD56001 EX</t>
  </si>
  <si>
    <t>FD56001 EX Gardırop Tipi Buzdolabı</t>
  </si>
  <si>
    <t>BDVP 4K 655 EX</t>
  </si>
  <si>
    <t>4K NF655 EX Buzdolabı</t>
  </si>
  <si>
    <t>BDVR NFK3501 TURUNCU</t>
  </si>
  <si>
    <t>RETRO NFK3501 Turuncu Buzdolabı</t>
  </si>
  <si>
    <t>BDVR SB14311 SİYAH</t>
  </si>
  <si>
    <t>RETRO SB14311 SİYAH Büro Tipi Buzdolabı Siyah</t>
  </si>
  <si>
    <t>BDVS 121</t>
  </si>
  <si>
    <t>SP 121 Su Pınarı</t>
  </si>
  <si>
    <t>SU SEBİLİ</t>
  </si>
  <si>
    <t>BDVS 200</t>
  </si>
  <si>
    <t>SP 200 Su Pınarı</t>
  </si>
  <si>
    <t>BDVS 201</t>
  </si>
  <si>
    <t>SP 201 Su Pınarı</t>
  </si>
  <si>
    <t>BDVS 201-G</t>
  </si>
  <si>
    <t>SP 201-G Su Pınarı</t>
  </si>
  <si>
    <t>BDVS SP 202-A</t>
  </si>
  <si>
    <t>SP 202-A SU PINARI</t>
  </si>
  <si>
    <t>BDVSA 101 S Bardaklık</t>
  </si>
  <si>
    <t>BY 101 S Bardak koyma aparatı</t>
  </si>
  <si>
    <t>BEYAZ EŞYA AKSESUAR</t>
  </si>
  <si>
    <t>BDVSA 113-S Bardaklık</t>
  </si>
  <si>
    <t>SP 113-S Bardak Koyma Aparatı</t>
  </si>
  <si>
    <t>BDVSA 120/121 Bardaklık</t>
  </si>
  <si>
    <t>SP 120/121 Bardak Koyma Aparatı</t>
  </si>
  <si>
    <t>BDVSA 200/201 Bardaklık</t>
  </si>
  <si>
    <t>SP 200/201 Bardak Koyma Aparatı</t>
  </si>
  <si>
    <t xml:space="preserve">BDVSA 200/201 Bardaklık. </t>
  </si>
  <si>
    <t>BDVSA 201-G Bardaklık</t>
  </si>
  <si>
    <t>SP 201-G Bardak Koyma Aparatı</t>
  </si>
  <si>
    <t>DW60A8050FS/TR</t>
  </si>
  <si>
    <t>BLS 60A8050FS</t>
  </si>
  <si>
    <t>DW60A8050FS/TR Bulaşık Makinası</t>
  </si>
  <si>
    <t>.BULAŞIK MAKİNALARI</t>
  </si>
  <si>
    <t>DW60DG540FSRTR</t>
  </si>
  <si>
    <t>BLS 60DG540 FS</t>
  </si>
  <si>
    <t>DW60DG540FSRTR Bulaşık Makinası</t>
  </si>
  <si>
    <t>DW60DG550FSRTR</t>
  </si>
  <si>
    <t>BLS 60DG550FS</t>
  </si>
  <si>
    <t>DW60DG550FSRTR Bulaşık Makinası</t>
  </si>
  <si>
    <t>DW60DG550FWQTR</t>
  </si>
  <si>
    <t>BLS 60DG550FW</t>
  </si>
  <si>
    <t>DW60DG550FWQTR Bulaşık Makinası</t>
  </si>
  <si>
    <t>DW60DG560FWQTR</t>
  </si>
  <si>
    <t>BLS 60DG560 FW</t>
  </si>
  <si>
    <t>DW60DG560FWQTR Bulaşık Makinası</t>
  </si>
  <si>
    <t>DW60DG560FSRTR</t>
  </si>
  <si>
    <t>BLS 60DG560F SR</t>
  </si>
  <si>
    <t>DW60DG560FSRTR Bulaşık Makinası</t>
  </si>
  <si>
    <t>BLV 1004 X</t>
  </si>
  <si>
    <t>BM-1004 X Ekomaks Bulaşık Makinesi A+++</t>
  </si>
  <si>
    <t>BLV 401 Pro</t>
  </si>
  <si>
    <t>BM 401 Pro Bulaşık Makinesi</t>
  </si>
  <si>
    <t>BLV 4202 X WIFI</t>
  </si>
  <si>
    <t>BM 4202 X WIFI Bulaşık Makinesi Inox</t>
  </si>
  <si>
    <t>BLV 4212 S WIFI</t>
  </si>
  <si>
    <t>BM 4212 S WIFI Bulaşık Makinesi</t>
  </si>
  <si>
    <t>BLV 4212 WIFI</t>
  </si>
  <si>
    <t>BM 4212 WIFI Bulaşık Makinesi</t>
  </si>
  <si>
    <t>BLV 4212 X WIFI</t>
  </si>
  <si>
    <t>BM 4212 X WIFI Bulaşık Makinesi</t>
  </si>
  <si>
    <t>BLV 500 I PRO</t>
  </si>
  <si>
    <t>BM-Pro 500 I Bulaşık Makinesi</t>
  </si>
  <si>
    <t>BLV 5001 CS</t>
  </si>
  <si>
    <t>BM 5001 CS Bulaşık Makinesi Cam Siyah</t>
  </si>
  <si>
    <t>BLV 5001 Retro Bordo</t>
  </si>
  <si>
    <t>BM 5001 Bulaşık Makinesi Retro Bordo</t>
  </si>
  <si>
    <t>BLV 5001 X Pro</t>
  </si>
  <si>
    <t>BM 5001 X Pro Bulaşık Makinesi Inox</t>
  </si>
  <si>
    <t>BLV 503 X</t>
  </si>
  <si>
    <t>BMJ-L503 X Bulaşık Makinesi-Inox</t>
  </si>
  <si>
    <t>BLV 5302 X WIFI</t>
  </si>
  <si>
    <t>BM 5302 X WIFI Bulaşık Makinesi</t>
  </si>
  <si>
    <t>BLV 5312 KX WIFI</t>
  </si>
  <si>
    <t>BM 5312 KX WIFI Bulaşık Makinesi</t>
  </si>
  <si>
    <t>BLV 5312 WIFI</t>
  </si>
  <si>
    <t>BM 5312 WIFI Bulaşık Makinesi</t>
  </si>
  <si>
    <t>BLV 5312 X WIFI</t>
  </si>
  <si>
    <t>BM 5312 X WIFI Bulaşık Makinesi</t>
  </si>
  <si>
    <t>BLV 6312 WIFI</t>
  </si>
  <si>
    <t>BM 6312 WIFI Bulaşık Makinesi</t>
  </si>
  <si>
    <t>BLV BM 8202 WIFI</t>
  </si>
  <si>
    <t>BM 8202 WIFI Bulaşık Makinesi</t>
  </si>
  <si>
    <t>BRE710/05</t>
  </si>
  <si>
    <t>BRE710/05 Epilatör</t>
  </si>
  <si>
    <t>SM-X520NZARTUR</t>
  </si>
  <si>
    <t>BSST Galaxy Tab S10 FE Gray 8GB/128GB</t>
  </si>
  <si>
    <t>SM-X520NZARTUR Galaxy Tab S10 FE 10.9" Gri Tablet 8GB/128GB</t>
  </si>
  <si>
    <t>..TABLET</t>
  </si>
  <si>
    <t>IT</t>
  </si>
  <si>
    <t>SM-X620NLBRTUR</t>
  </si>
  <si>
    <t>BSST Galaxy Tab S10 FE+ Blue 8GB/128GB</t>
  </si>
  <si>
    <t>SM-X620NLBRTUR Galaxy Tab S10 FE+ 13.1" Mavi Tablet 8GB/128GB</t>
  </si>
  <si>
    <t>SM-X210NZAATUR</t>
  </si>
  <si>
    <t>BSST TAB A9+ Graphite</t>
  </si>
  <si>
    <t>SM-X210NZAATUR TAB A9+ 11" Koyu Gri Tablet 4GB/64GB</t>
  </si>
  <si>
    <t>SM-X210RZARTUR</t>
  </si>
  <si>
    <t>BSST TAB A9+ Graphite 6GB/128GB</t>
  </si>
  <si>
    <t>SM-X210RZARTUR TAB A9+ 11" Gri Tablet 6GB/128GB</t>
  </si>
  <si>
    <t>SM-X210NDBATUR</t>
  </si>
  <si>
    <t>BSST TAB A9+ Navy</t>
  </si>
  <si>
    <t>SM-X210NDBATUR TAB A9+ 11" Mavi Tablet 4GB/64GB</t>
  </si>
  <si>
    <t>SM-X210RDBPTUR</t>
  </si>
  <si>
    <t>BSST TAB A9+ Navy 8GB/256GB</t>
  </si>
  <si>
    <t>SM-X210RDBPTUR TAB A9+ 11" Mavi Tablet 8GB/256GB</t>
  </si>
  <si>
    <t>SM-X210RZSPTUR</t>
  </si>
  <si>
    <t>BSST TAB A9+ Silver 8GB/256GB</t>
  </si>
  <si>
    <t>SM-X210RZSPTUR TAB A9+ 11" Gri Tablet 8GB/256GB</t>
  </si>
  <si>
    <t>SM-X400NZARTUR</t>
  </si>
  <si>
    <t>BSST TAB S10 Lite Gray</t>
  </si>
  <si>
    <t>SM-X400NZARTUR TAB S10 Lite 10.9" Gri Tablet 6GB/128GB</t>
  </si>
  <si>
    <t>SM-X920NZA5TUR</t>
  </si>
  <si>
    <t>BSST TAB S10 Ultra Moonstoe Gray 256GB</t>
  </si>
  <si>
    <t>SM-X920NZA5TUR TAB S10 Ultra 14.6" Koyu Gri Tablet 256GB/12GB</t>
  </si>
  <si>
    <t>SM-X820NZS5TUR</t>
  </si>
  <si>
    <t>BSST TAB S10+ Platinum Silver</t>
  </si>
  <si>
    <t>SM-X820NZS5TUR TAB S10+ 12.4" Gri Tablet 12GB/256GB</t>
  </si>
  <si>
    <t>SM-X730NZSRTUR</t>
  </si>
  <si>
    <t>BSST TAB S11 Silver</t>
  </si>
  <si>
    <t>SM-X730NZSRTUR TAB S11 11" Gri Tablet 12GB/128GB</t>
  </si>
  <si>
    <t>SM-X930NZAPTUR</t>
  </si>
  <si>
    <t>BSST TAB S11 Ultra Gray</t>
  </si>
  <si>
    <t>SM-X930NZAPTUR TAB S11 Ultra 14.6" Gri Tablet 512GB/12GB</t>
  </si>
  <si>
    <t>EF-DX925BWEGTR</t>
  </si>
  <si>
    <t>BSSTK Tab S10 / S9 Ultra Klavyeli White</t>
  </si>
  <si>
    <t>EF-DX925BWEGTR Tab S10 / S9 Ultra Klavyeli Mousepadli Kılıf Beyaz</t>
  </si>
  <si>
    <t>IT AKSESUAR</t>
  </si>
  <si>
    <t>BSVAŞ Elektrikli Araç Şarj İstasyonu 22kW</t>
  </si>
  <si>
    <t>EVC04 ZES4-AC22SW-T2P OPT1 TR Elektrikli Araç Şarj İstasyonu 22kW Kablolu</t>
  </si>
  <si>
    <t>ARAÇ ŞARJ İSTASYONU</t>
  </si>
  <si>
    <t>TEAPLUS</t>
  </si>
  <si>
    <t>ÇAYA TEAPLUS Çaycı</t>
  </si>
  <si>
    <t>Teaplus Çay Makinası</t>
  </si>
  <si>
    <t>KAHVALTI HAZIRLAMA</t>
  </si>
  <si>
    <t>AWOX</t>
  </si>
  <si>
    <t>HD7301/00</t>
  </si>
  <si>
    <t>ÇAYP 7301/00</t>
  </si>
  <si>
    <t>HD7301/00 Çay Makinası</t>
  </si>
  <si>
    <t>HD9318/20</t>
  </si>
  <si>
    <t>ÇAYP 9318/20</t>
  </si>
  <si>
    <t>HD9318/20 Orbıt Su Isıtıcı</t>
  </si>
  <si>
    <t>ÇAYV 2000 BEYAZ</t>
  </si>
  <si>
    <t>V-BRUNCH 2000 Çay Mak. Beyaz</t>
  </si>
  <si>
    <t>ÇAYV 5000 X</t>
  </si>
  <si>
    <t xml:space="preserve">SEFA 5000 X Çay Makinesi </t>
  </si>
  <si>
    <t>ÇAYV SEFA 3000</t>
  </si>
  <si>
    <t>SEFA 3000 Çay Makinesi Düş Mavisi</t>
  </si>
  <si>
    <t>ÇAYV SEFA 3000 BD</t>
  </si>
  <si>
    <t>SEFA 3000 BD Çay Makinesi Bordo-Siyah</t>
  </si>
  <si>
    <t>ÇAYV Sefa 3000 DX</t>
  </si>
  <si>
    <t>Sefa 3000 DX Çay Makinesi</t>
  </si>
  <si>
    <t>ÇAYV SEFA 3000 S</t>
  </si>
  <si>
    <t>SEFA 3000 S Çay Makinesi Siyah</t>
  </si>
  <si>
    <t>ÇAYV SEFA 4000 X</t>
  </si>
  <si>
    <t>SEFA 4000 X Çay Makinesi Inox</t>
  </si>
  <si>
    <t>ÇAYV SEFA 4510 X</t>
  </si>
  <si>
    <t>SEFA 4510 X Çay Makinesi</t>
  </si>
  <si>
    <t>ÇAYV SEFA 6000 BD</t>
  </si>
  <si>
    <t>SEFA 6000 BD Çay Makinesi Bordo</t>
  </si>
  <si>
    <t>DV10DB8440GBAH</t>
  </si>
  <si>
    <t>ÇMKS 10DB8440GB</t>
  </si>
  <si>
    <t>DV10DB8440GBAH 10 kg Çamaşır Kurutma Makinesi</t>
  </si>
  <si>
    <t>.KURUTMA MAKİNALARI</t>
  </si>
  <si>
    <t>DV10DB8440GHAH</t>
  </si>
  <si>
    <t>ÇMKS 10DB8440GH</t>
  </si>
  <si>
    <t>DV10DB8440GHAH 10 kg Çamaşır Kurutma Makinesi</t>
  </si>
  <si>
    <t>DV90BB5245AEAH</t>
  </si>
  <si>
    <t>ÇMKS 90BB5245AEA</t>
  </si>
  <si>
    <t>DV90BB5245AEAH 9 kg Çamaşır Kurutma Makinesi</t>
  </si>
  <si>
    <t>DV90BB9445GBAH</t>
  </si>
  <si>
    <t>ÇMKS 90BB9445GBAH</t>
  </si>
  <si>
    <t>DV90BB9445GBAH 9 kg Çamaşır Kurutma Makinesi</t>
  </si>
  <si>
    <t>DV90BBA245ABAH</t>
  </si>
  <si>
    <t>ÇMKS 90BBA245ABAH</t>
  </si>
  <si>
    <t>DV90BBA245ABAH 9 kg Çamaşır Kurutma Makinesi</t>
  </si>
  <si>
    <t>DV90CGC0A0AEAH</t>
  </si>
  <si>
    <t>ÇMKS 90CGC0A0AEAH</t>
  </si>
  <si>
    <t>DV90CGC0A0AEAH 9 kg Çamaşır Kurutma Makinesi</t>
  </si>
  <si>
    <t>DV90DG52A0ABAH</t>
  </si>
  <si>
    <t>ÇMKS 90DG52A0AB</t>
  </si>
  <si>
    <t>DV90DG52A0ABAH 9 kg Çamaşır Kurutma Makinesi</t>
  </si>
  <si>
    <t>DV10DG6440LEAH</t>
  </si>
  <si>
    <t>ÇMKS DV10DG6440LE</t>
  </si>
  <si>
    <t>DV10DG6440LEAH 10 kg Çamaşır Kurutma Makinesi</t>
  </si>
  <si>
    <t>DV90DG6845LBAH</t>
  </si>
  <si>
    <t>ÇMKS DV90DG6845LB</t>
  </si>
  <si>
    <t>DV90DG6845LBAH 9 kg Çamaşır Kurutma Makinesi</t>
  </si>
  <si>
    <t>DV90DG6845LEAH</t>
  </si>
  <si>
    <t>ÇMKS DV90DG6845LE</t>
  </si>
  <si>
    <t>DV90DG6845LEAH 9 kg Çamaşır Kurutma Makinesi</t>
  </si>
  <si>
    <t>ÇMKV 107202 WIFI</t>
  </si>
  <si>
    <t>KM 107202 WIFI Kurutma Makinesi 10Kg</t>
  </si>
  <si>
    <t>ÇMKV 127202 WIFI</t>
  </si>
  <si>
    <t>KM 127202 WIFI Kurutma Makinesi 10Kg</t>
  </si>
  <si>
    <t>ÇMKV 97201</t>
  </si>
  <si>
    <t>KMI 97201 Kurutma Makinesi 9Kg</t>
  </si>
  <si>
    <t>ÇMKV 97201 GI Pro</t>
  </si>
  <si>
    <t>KM 97201 GI Pro Kurutma Makinesi 9Kg</t>
  </si>
  <si>
    <t>ÇMKV 97202 G WIFI</t>
  </si>
  <si>
    <t>KM 97202 G WIFI Kurutma Makinesi 9Kg</t>
  </si>
  <si>
    <t>ÇMKV 97202 WIFI</t>
  </si>
  <si>
    <t>KM 97202 WIFI Kurutma Makinesi 9Kg</t>
  </si>
  <si>
    <t>ÇMKV 98142 G WIFI</t>
  </si>
  <si>
    <t>KCMI 98142 G WIFI Çamaşır Makinesi+Kurutmalı</t>
  </si>
  <si>
    <t>WW11BBA046ABAH</t>
  </si>
  <si>
    <t>ÇMS 11BBA046AB</t>
  </si>
  <si>
    <t>WW11BBA046ABAH Çamaşır Mak.11kg/1400d</t>
  </si>
  <si>
    <t>.ÇAMAŞIR MAKİNALARI</t>
  </si>
  <si>
    <t>WW11DB7B34GBAH</t>
  </si>
  <si>
    <t>ÇMS 11DB7B34GB</t>
  </si>
  <si>
    <t>WW11DB7B34GBAH Çamaşır Mak.11kg/1400d</t>
  </si>
  <si>
    <t>WW11DB7B34GEAH</t>
  </si>
  <si>
    <t>ÇMS 11DB7B34GE</t>
  </si>
  <si>
    <t>WW11DB7B34GEAH Çamaşır Mak.11kg/1400d</t>
  </si>
  <si>
    <t>WW11DB8B95GBAH</t>
  </si>
  <si>
    <t>ÇMS 11DB8B95GB</t>
  </si>
  <si>
    <t>WW11DB8B95GBAH Çamaşır Mak.11kg/1400d</t>
  </si>
  <si>
    <t>WW11DB8B95GHAH</t>
  </si>
  <si>
    <t>ÇMS 11DB8B95GH</t>
  </si>
  <si>
    <t>WW11DB8B95GHAH Çamaşır Mak.11kg/1400d</t>
  </si>
  <si>
    <t>WW11DG6B25LBAH</t>
  </si>
  <si>
    <t>ÇMS 11DG6B25LB</t>
  </si>
  <si>
    <t>WW11DG6B25LBAH Çamaşır Mak.11kg/1400d</t>
  </si>
  <si>
    <t>WW11DG6B25LEAH</t>
  </si>
  <si>
    <t>ÇMS 11DG6B25LE</t>
  </si>
  <si>
    <t>WW11DG6B25LEAH Çamaşır Mak.11kg/1400d</t>
  </si>
  <si>
    <t>WW90CGC04DABAH</t>
  </si>
  <si>
    <t>ÇMS 90CGC04DAB</t>
  </si>
  <si>
    <t>WW90CGC04DABAH Çamaşır Mak.9kg/1400d</t>
  </si>
  <si>
    <t>WW90DG6U25LBAH</t>
  </si>
  <si>
    <t>ÇMS 90DG6U25LB</t>
  </si>
  <si>
    <t>WW90DG6U25LBAH Çamaşır Mak.9kg/1400d</t>
  </si>
  <si>
    <t>WW90DG6U25LEAH</t>
  </si>
  <si>
    <t>ÇMS 90DG6U25LE</t>
  </si>
  <si>
    <t>WW90DG6U25LEAH Çamaşır Mak.9kg/1400d</t>
  </si>
  <si>
    <t>WW90FG3M05TWAH</t>
  </si>
  <si>
    <t>ÇMS 90FG3M05TW</t>
  </si>
  <si>
    <t>WW90FG3M05TWAH Çamaşır Mak.9kg/1400d</t>
  </si>
  <si>
    <t>FT-MF/AH</t>
  </si>
  <si>
    <t>ÇMS FT-MF/AH ÇAM MAK FİLTRESİ</t>
  </si>
  <si>
    <t>ÇAMAŞIR MAKİNASI FİLTRESİ</t>
  </si>
  <si>
    <t>FİLTRE</t>
  </si>
  <si>
    <t>WD11DB8B85GHAH</t>
  </si>
  <si>
    <t>ÇMSK 11DB8B85GH</t>
  </si>
  <si>
    <t>WD11DB8B85GHAH Kurutma/Çamaşır Mak.11-6Kg/1400d</t>
  </si>
  <si>
    <t>WD11DG5B15BBAH</t>
  </si>
  <si>
    <t>ÇMSK 11DG5B15BB</t>
  </si>
  <si>
    <t>WD11DG5B15BBAH Kurutma/Çamaşır Mak.11-6Kg/1400d</t>
  </si>
  <si>
    <t>WD11DG5B15BEAH</t>
  </si>
  <si>
    <t>ÇMSK 11DG5B15BE</t>
  </si>
  <si>
    <t>WD11DG5B15BEAH Kurutma/Çamaşır Mak.11-6Kg/1400d</t>
  </si>
  <si>
    <t>WD90T654DBN1AH</t>
  </si>
  <si>
    <t>ÇMSK 90T654DBN1</t>
  </si>
  <si>
    <t>WD90T654DBN1AH Kurutma/Çamaşır Mak.9-6kg/1400d</t>
  </si>
  <si>
    <t>WD18DB8995BZAH</t>
  </si>
  <si>
    <t>ÇMSK WD18DB8995BZ</t>
  </si>
  <si>
    <t>WD18DB8995BZAH Kurutma/Çamaşır Mak.18-11Kg/</t>
  </si>
  <si>
    <t>ÇMV 106321</t>
  </si>
  <si>
    <t>CMI 106321 Çamaşır Makinesi 10Kg/1200d</t>
  </si>
  <si>
    <t>ÇMV 108242 G GI Pro WIFI</t>
  </si>
  <si>
    <t>CMI 108242 G GI Pro WIFI Çamaşır Makinesi 10Kg/1400d</t>
  </si>
  <si>
    <t>ÇMV 108322 WIFI</t>
  </si>
  <si>
    <t>CMI 108322 WIFI Çamaşır Makinesi 10Kg/1200d</t>
  </si>
  <si>
    <t>ÇMV 109122 WIFI</t>
  </si>
  <si>
    <t>CMI 109122 WIFI Çamaşır Makinesi 10Kg/1200d</t>
  </si>
  <si>
    <t>ÇMV 128342 WIFI</t>
  </si>
  <si>
    <t>CMI 128342 WIFI Çamaşır Makinesi 12Kg/1400d</t>
  </si>
  <si>
    <t>ÇMV 87102 G WIFI</t>
  </si>
  <si>
    <t>CMI 87102 G WIFI Çamaşır Makinesi 8Kg/1000d Gri</t>
  </si>
  <si>
    <t>ÇMV 87202 G WIFI</t>
  </si>
  <si>
    <t>CMI 87202 G WIFI Çamaşır Makinesi 8Kg/1000d</t>
  </si>
  <si>
    <t>ÇMV 87302 WIFI</t>
  </si>
  <si>
    <t>CMI 87302 WIFI Çamaşır Makinesi 8Kg/1000d</t>
  </si>
  <si>
    <t>ÇMV 8814 TT</t>
  </si>
  <si>
    <t xml:space="preserve">HIZLI 8814 TT Çamaşır Makinesi 8Kg/1400d </t>
  </si>
  <si>
    <t>ÇMV 89142 WIFI</t>
  </si>
  <si>
    <t>CMI 89142 WIFI Çamaşır Makinesi</t>
  </si>
  <si>
    <t>ÇMV 96321</t>
  </si>
  <si>
    <t>CMI 96321 Çamaşır Makinesi 9Kg/1200d</t>
  </si>
  <si>
    <t>ÇMV 97202 G WIFI</t>
  </si>
  <si>
    <t>CMI 97202 G WIFI Çamaşır Makinesi 9Kg/1000d Gri</t>
  </si>
  <si>
    <t>ÇMV 97302 WIFI</t>
  </si>
  <si>
    <t xml:space="preserve">CMI 97302 WIFI Çamaşır Makinesi 9Kg/1000d </t>
  </si>
  <si>
    <t>ÇMV 98142 GI WIFI</t>
  </si>
  <si>
    <t>CMI 98142 GI WIFI Çamaşır Makinesi 9Kg/1400d</t>
  </si>
  <si>
    <t>ÇMV 98222 G WIFI</t>
  </si>
  <si>
    <t>CMI 98222 G WIF Çamaşır Makinesi 9Kg/1200d</t>
  </si>
  <si>
    <t>ÇMV 98322 WIFI</t>
  </si>
  <si>
    <t>CMI 98322 WIFI Çamaşır Makinesi 9Kg/1200d</t>
  </si>
  <si>
    <t>ÇMV 98422 WIFI</t>
  </si>
  <si>
    <t xml:space="preserve">CMI 98422 WIFI Çamaşır Makinesi 9Kg/1200d </t>
  </si>
  <si>
    <t>ÇMV CMI 96301</t>
  </si>
  <si>
    <t>CMI 96301 Çamaşır Makinesi 9Kg/1000d</t>
  </si>
  <si>
    <t>ÇMVI CMI 118321</t>
  </si>
  <si>
    <t>CMI 118321 Çamaşır Makinesi 11Kg/1200d</t>
  </si>
  <si>
    <t>ÇMVI CMI 97302 G WIFI</t>
  </si>
  <si>
    <t xml:space="preserve">CMI 97302 G WIFI Çamaşır Makinesi 9Kg/1000d </t>
  </si>
  <si>
    <t>DVSS B650D</t>
  </si>
  <si>
    <t>HW-B650D/TK Ses Sistemi</t>
  </si>
  <si>
    <t>SES SİSTEMİ</t>
  </si>
  <si>
    <t>DVSS C400</t>
  </si>
  <si>
    <t>HW-C400/TK Ses Sistemi</t>
  </si>
  <si>
    <t>DVSS C450</t>
  </si>
  <si>
    <t>HW-C450/TK Ses Sistemi</t>
  </si>
  <si>
    <t>DVSS HW-Q990D</t>
  </si>
  <si>
    <t>HW-Q990D/TK Ses Sistemi</t>
  </si>
  <si>
    <t>DVSS Q800D</t>
  </si>
  <si>
    <t>HW-Q800D/TK Ses Sistemi</t>
  </si>
  <si>
    <t>MG5950/15</t>
  </si>
  <si>
    <t>EBSP MG5950/15</t>
  </si>
  <si>
    <t>MG5950/15 Erkek Bakım Seti</t>
  </si>
  <si>
    <t>HD9650/90</t>
  </si>
  <si>
    <t>FRTP 9650/90</t>
  </si>
  <si>
    <t>HD 9650/90 Airfryer Fritöz XXL</t>
  </si>
  <si>
    <t>YİYECEK HAZIRLAMA</t>
  </si>
  <si>
    <t>HD9867/90</t>
  </si>
  <si>
    <t>FRTP HD9867/90</t>
  </si>
  <si>
    <t>HD9867/90 Airfryer Fritöz</t>
  </si>
  <si>
    <t>F-EF202307</t>
  </si>
  <si>
    <t>FRTT F-EF202307</t>
  </si>
  <si>
    <t>EASY FRY &amp; GRILL PRECISION+</t>
  </si>
  <si>
    <t>TEFAL</t>
  </si>
  <si>
    <t>FRTV Duo XXL Fritöz</t>
  </si>
  <si>
    <t>LightFry Duo XXL Fritöz</t>
  </si>
  <si>
    <t>FRV 6114 S</t>
  </si>
  <si>
    <t>SO 6114 S Solo Siyah Cam Setüstü Ocak</t>
  </si>
  <si>
    <t>.PİŞİRİCİLER</t>
  </si>
  <si>
    <t>FRV 7400 G SF</t>
  </si>
  <si>
    <t>SF 7400 G Solo Fırın</t>
  </si>
  <si>
    <t>FRV SF 8400 DG</t>
  </si>
  <si>
    <t>SF 8400 DG Solo Fırın</t>
  </si>
  <si>
    <t>FRV SF 8401 DG</t>
  </si>
  <si>
    <t>SF 8401 DG Solo Fırın</t>
  </si>
  <si>
    <t>FRV SF 84011 DG</t>
  </si>
  <si>
    <t>SF 84011 DG Solo Fırın</t>
  </si>
  <si>
    <t>IVR R11000 RADYATÖR</t>
  </si>
  <si>
    <t>R11000 Yağlı Radyatör</t>
  </si>
  <si>
    <t>SOBA-VANTİLATÖR</t>
  </si>
  <si>
    <t>EP3347/90</t>
  </si>
  <si>
    <t>KAHP EP3347/90</t>
  </si>
  <si>
    <t>EP3347/90 Tam Otomatik Espresso Makinesi</t>
  </si>
  <si>
    <t>HDA150/60</t>
  </si>
  <si>
    <t>KAHP HDA150/60</t>
  </si>
  <si>
    <t>HDA150/60 TÜRK KAHVE MAKİNESİ BAKIR</t>
  </si>
  <si>
    <t>HDA150/61</t>
  </si>
  <si>
    <t>KAHP HDA150/61</t>
  </si>
  <si>
    <t>HDA150/61 TÜRK KAHVE MAKİNESİ GRİ</t>
  </si>
  <si>
    <t>KAHS 5000 SÜT</t>
  </si>
  <si>
    <t>KÖPÜK 5000 Süt Isıtıcı</t>
  </si>
  <si>
    <t>KAHV Keyif 20 Filtre Kahve</t>
  </si>
  <si>
    <t>Keyif 20 Filtre Kahve Makinesi</t>
  </si>
  <si>
    <t>KAHV Retro Filtre Kahve Makinesi Bordo</t>
  </si>
  <si>
    <t>Retro Bordo Filtre Kahve Makinesi</t>
  </si>
  <si>
    <t>KAHV Sade GR915</t>
  </si>
  <si>
    <t>Sade GR915 Türk Kahve Makinesi Siyah</t>
  </si>
  <si>
    <t>KAHV Sade R815</t>
  </si>
  <si>
    <t>Sade R815 Türk Kahve Makinesi Rose</t>
  </si>
  <si>
    <t>KAHV SADE S910</t>
  </si>
  <si>
    <t>SADE S910 Türk Kahve Makinesi Siyah</t>
  </si>
  <si>
    <t>HDMI3</t>
  </si>
  <si>
    <t>KBLE 3.0 M</t>
  </si>
  <si>
    <t>BLACK HDMI KABLO 3,0 MT</t>
  </si>
  <si>
    <t>SONOROUS</t>
  </si>
  <si>
    <t>MIM-H04RN</t>
  </si>
  <si>
    <t>KLAS MIM-H04RN</t>
  </si>
  <si>
    <t>MIM-H04RN Multi Klima Wifi Kiti</t>
  </si>
  <si>
    <t>KLİMA AKSESUAR</t>
  </si>
  <si>
    <t>KLİMA</t>
  </si>
  <si>
    <t>AJ035TN1DKH/EA</t>
  </si>
  <si>
    <t>KLMI AJ035TN1DKH</t>
  </si>
  <si>
    <t>AJ035TN1DKH/EA Multi Split Tek Yön İç Ünite</t>
  </si>
  <si>
    <t>MULTİ KLİMALAR</t>
  </si>
  <si>
    <t>AJ035TNAPKH/TK</t>
  </si>
  <si>
    <t>KLMI AJ035TNAPKH</t>
  </si>
  <si>
    <t>AJ035TNAPKH/TK Multi Split Duvar Tipi İç Ünite</t>
  </si>
  <si>
    <t>AJ050TNAPKH/TK</t>
  </si>
  <si>
    <t>KLMI AJ050TNAPKH</t>
  </si>
  <si>
    <t>AJ050TNAPKH/TK Multi Split Duvar Tipi İç Ünite</t>
  </si>
  <si>
    <t>AC140BNPDKH/TK</t>
  </si>
  <si>
    <t>KLS 48 SET</t>
  </si>
  <si>
    <t>AC140BNPDKH/TK 48.000 BTU Klima</t>
  </si>
  <si>
    <t>.KLİMA SALON TİPİ</t>
  </si>
  <si>
    <t>AR12TXHQBWK/SK</t>
  </si>
  <si>
    <t>KLS AR12TXHQBW 12 SET</t>
  </si>
  <si>
    <t>AR12TXHQBWK/SK 12.000 BTU Klima</t>
  </si>
  <si>
    <t>.KLİMA DUVAR TİPİ</t>
  </si>
  <si>
    <t>AR24TSHZHWK/SK</t>
  </si>
  <si>
    <t>KLS AR24TSHZHWK/SK 24 SET</t>
  </si>
  <si>
    <t>AR24TSHZHWK/SK 24.000 BTU Klima</t>
  </si>
  <si>
    <t>AR18TSHZHWK/SK</t>
  </si>
  <si>
    <t>KLS P 18 SET</t>
  </si>
  <si>
    <t>AR18TSHZHWK/SK 18.000 BTU Klima</t>
  </si>
  <si>
    <t>AR60F12C1KW/SK</t>
  </si>
  <si>
    <t>KLS WF P 12 SET Y</t>
  </si>
  <si>
    <t>WindFree Premium AR60F12C1KW/SK 12.000 BTU Klima</t>
  </si>
  <si>
    <t>AR60F18C1KW/SK</t>
  </si>
  <si>
    <t>KLS WF P 18 SET Y</t>
  </si>
  <si>
    <t>WindFree AR60F18C1KW/SK 18.000 BTU Klima</t>
  </si>
  <si>
    <t>AJ050TXJ2KH/EA</t>
  </si>
  <si>
    <t>KLSMD AJ050TXJ2KH</t>
  </si>
  <si>
    <t>AJ050TXJ2KH/EA Multi Split Dış Ünite</t>
  </si>
  <si>
    <t>AJ068TXJ3KH/EA</t>
  </si>
  <si>
    <t>KLSMD AJ068TXJ3KH</t>
  </si>
  <si>
    <t>AJ068TXJ3KH/EA Multi Split Dış Ünite</t>
  </si>
  <si>
    <t>AJ080TXJ4KH/EA</t>
  </si>
  <si>
    <t>KLSMD AJ080TXJ4KH</t>
  </si>
  <si>
    <t>AJ080TXJ4KH/EA Multi Split Dış Ünite</t>
  </si>
  <si>
    <t>AJ100TXJ5KH/EA</t>
  </si>
  <si>
    <t>KLSMD AJ100TXJ5KH</t>
  </si>
  <si>
    <t>AJ100TXJ5KH/EA Multi Split Dış Ünite</t>
  </si>
  <si>
    <t xml:space="preserve">KLVİF 092 A++ GI Pro </t>
  </si>
  <si>
    <t>NEFES INVERTER 092 A++ GI Pro WIFI Klima</t>
  </si>
  <si>
    <t>KLVİF 122 A++ GI Pro</t>
  </si>
  <si>
    <t>NOVA INVERTER 122 A++ GI Pro WIFI Klima</t>
  </si>
  <si>
    <t>KLVİF 126 A++ WIFI</t>
  </si>
  <si>
    <t>Flora Doğa Inverter 126 A++ WIFI Klima</t>
  </si>
  <si>
    <t>KLVİF 186 A++ WIFI</t>
  </si>
  <si>
    <t>Flora Doğa Inverter 186 A++ WIFI Klima</t>
  </si>
  <si>
    <t>KLVİF 246 A++ WIFI</t>
  </si>
  <si>
    <t>FLORA DOĞA INVERTER 246 A++ WIFI Klima</t>
  </si>
  <si>
    <t>KLVİF BUZZ 184 A++ WIFI</t>
  </si>
  <si>
    <t>BUZZ INVERTER 184 A++ WIFI KLİMA</t>
  </si>
  <si>
    <t>KULV K550 AYIŞIĞI</t>
  </si>
  <si>
    <t>Desibel K550 Bluetooth Kulaklık Ayışığı</t>
  </si>
  <si>
    <t>MS23DG4504AGTR</t>
  </si>
  <si>
    <t>MDS 23DG4504AG</t>
  </si>
  <si>
    <t>MS23DG4504AGTR Siyah Mikrodalga</t>
  </si>
  <si>
    <t>MS23DG4504ATTR</t>
  </si>
  <si>
    <t>MDS 23DG4504AT</t>
  </si>
  <si>
    <t>MS23DG4504ATTR Inox Mikrodalga</t>
  </si>
  <si>
    <t>MS23K3555ES/ND</t>
  </si>
  <si>
    <t>MDS 23K3555ES</t>
  </si>
  <si>
    <t>MS23K3555ES/ND Mikrodalga</t>
  </si>
  <si>
    <t>MG23DG4524ATTR</t>
  </si>
  <si>
    <t>MDS MG23DG4524ATTR</t>
  </si>
  <si>
    <t>MG23DG4524ATTR Mikrodalga</t>
  </si>
  <si>
    <t>MS20A3010AH/TR</t>
  </si>
  <si>
    <t>MDS MS20A3010AH</t>
  </si>
  <si>
    <t>MS20A3010AH/TR Mikrodalga</t>
  </si>
  <si>
    <t>MS23K3614AS/TR</t>
  </si>
  <si>
    <t>MDS MS23K3614AS</t>
  </si>
  <si>
    <t>MS23K3614AS/TR Mikrodalga</t>
  </si>
  <si>
    <t>MDV 20 YDB</t>
  </si>
  <si>
    <t>MD 20 YDB Mikrodalga Fırın</t>
  </si>
  <si>
    <t>MDV 20 YDG</t>
  </si>
  <si>
    <t>MD 20 YDG Mikrodalga Fırın Gri</t>
  </si>
  <si>
    <t>MDV 20 YDS</t>
  </si>
  <si>
    <t>MD 20 YDS Mikrodalga Fırın</t>
  </si>
  <si>
    <t xml:space="preserve">MDV 20 YMB </t>
  </si>
  <si>
    <t>MD 20 YMB Mikrodalga Fırın</t>
  </si>
  <si>
    <t>MDV 20 YMS</t>
  </si>
  <si>
    <t>MD 20 YMS Mikrodalga Fırın</t>
  </si>
  <si>
    <t>HR3705/10</t>
  </si>
  <si>
    <t>MİKP 3705/10</t>
  </si>
  <si>
    <t>HR 3705/10 El Mikser</t>
  </si>
  <si>
    <t>HR1863/20</t>
  </si>
  <si>
    <t>MİKP HR1863/20</t>
  </si>
  <si>
    <t>HR1863/20 KATI MEYVE SIKACAĞI</t>
  </si>
  <si>
    <t>HR2534/00</t>
  </si>
  <si>
    <t>MİKP HR2534/00</t>
  </si>
  <si>
    <t>HR2534/00 ProMix Blenderi</t>
  </si>
  <si>
    <t>HR2653/90</t>
  </si>
  <si>
    <t>MİKP HR2653/90</t>
  </si>
  <si>
    <t>HR2653/90 ProMix Blender Seti</t>
  </si>
  <si>
    <t>HR2695/01</t>
  </si>
  <si>
    <t>MİKP HR2695/01</t>
  </si>
  <si>
    <t>HR2695/01 Blender Seti</t>
  </si>
  <si>
    <t>HR2764/00</t>
  </si>
  <si>
    <t>MİKP HR2764/00</t>
  </si>
  <si>
    <t>HR2764/00 Smoothie Blender</t>
  </si>
  <si>
    <t>HR3030/00</t>
  </si>
  <si>
    <t>MİKP HR3030/00</t>
  </si>
  <si>
    <t xml:space="preserve">HR3030/00 VIVA BLENDER  </t>
  </si>
  <si>
    <t>HR3702/00</t>
  </si>
  <si>
    <t>MİKP HR3702/00</t>
  </si>
  <si>
    <t>HR3702/00 El Mikser</t>
  </si>
  <si>
    <t>MİKVB Drip &amp; Go Termos</t>
  </si>
  <si>
    <t>Drip &amp; Go Termos K</t>
  </si>
  <si>
    <t>MİKVB Drip &amp; Go Termos DX</t>
  </si>
  <si>
    <t>Drip &amp; Go Termos DX</t>
  </si>
  <si>
    <t>MİKVB MIX&amp;GO Active Düş Mavisi</t>
  </si>
  <si>
    <t>MIX&amp;GO ACTIVE DÜŞ MAVİSİ BLENDER</t>
  </si>
  <si>
    <t>MİKVB MIX&amp;GO Active Kırmızı</t>
  </si>
  <si>
    <t>MIX&amp;GO ACTIVE KIRMIZI BLENDER</t>
  </si>
  <si>
    <t>MİKVB MIX&amp;GO Active Mor</t>
  </si>
  <si>
    <t>MIX&amp;GO ACTIVE MOR BLENDER</t>
  </si>
  <si>
    <t>MİKVB MIX&amp;GO Şarjlı Mavi</t>
  </si>
  <si>
    <t>Mix&amp;Go Şarj Edilebilir Mavi Blender</t>
  </si>
  <si>
    <t>MİKVB MIX&amp;GO Şarjlı SİYAH</t>
  </si>
  <si>
    <t>MIX&amp;GO Şarj Edilebilir Blender-Siyah</t>
  </si>
  <si>
    <t>MİKVB VANİLYA 2100 B SET</t>
  </si>
  <si>
    <t>VANİLYA 2100 B MULTİ BLENDER SET</t>
  </si>
  <si>
    <t>MİKVB VANİLYA 2500 B</t>
  </si>
  <si>
    <t>VANİLYA 2500 B Multi Blender Set</t>
  </si>
  <si>
    <t>MİKVB VANİLYA 2500 B SETİ</t>
  </si>
  <si>
    <t>VANİLYA 2500 B EL BLENDER SETİ</t>
  </si>
  <si>
    <t>MİKVD- Maxi DX 4</t>
  </si>
  <si>
    <t>Maxi DX 4 Bıçaklı Doğrayıcı</t>
  </si>
  <si>
    <t>MİKVD- NANO CUT R</t>
  </si>
  <si>
    <t>NANO CUT R Multi Blender Set</t>
  </si>
  <si>
    <t>MİKVD- NANO CUT RETRO DÜŞ MAVİSİ</t>
  </si>
  <si>
    <t>NANO CUT RETRO DÜŞ MAVİSİ MULTİ BLENDER SET</t>
  </si>
  <si>
    <t>MİKVD- Solo Blender</t>
  </si>
  <si>
    <t>Solo Blender DX</t>
  </si>
  <si>
    <t>MİKVD- TARÇIN 7000 S</t>
  </si>
  <si>
    <t>TARÇIN 7000 S MULTİ BLENDER SET</t>
  </si>
  <si>
    <t>MİKVD- Tarçın 7500 S</t>
  </si>
  <si>
    <t>Tarçın 7500 S Multi Blender Set</t>
  </si>
  <si>
    <t>MİKVD- Tarçın 7500 S El</t>
  </si>
  <si>
    <t>Tarçın 7500 S El Blender Set</t>
  </si>
  <si>
    <t>MİKVD- X Maxi 4 Bıçaklı</t>
  </si>
  <si>
    <t>X Maxi 4 Bıçaklı Doğrayıcı</t>
  </si>
  <si>
    <t>MİKVD-TARÇIN 7500</t>
  </si>
  <si>
    <t>TARÇIN 7500 Cam Doğrayıcı Düş Mavisi</t>
  </si>
  <si>
    <t>MİKVM ZİYAFET 8500</t>
  </si>
  <si>
    <t>ZİYAFET 8500 INOX El Blender Seti</t>
  </si>
  <si>
    <t>MİKVM ZİYAFET 8500 DARK</t>
  </si>
  <si>
    <t>ZİYAFET 8500 DARK INOX Multi blender set</t>
  </si>
  <si>
    <t>Mini Turbo Fırça</t>
  </si>
  <si>
    <t>VESTEL Mini Turbo Fırça</t>
  </si>
  <si>
    <t>ELEKTRİKLİ SÜPÜRGELER</t>
  </si>
  <si>
    <t>OPTIC1,5</t>
  </si>
  <si>
    <t>OPTIC 1,5 M</t>
  </si>
  <si>
    <t>Optic Kablo Black 1,5 Mt.</t>
  </si>
  <si>
    <t>HR2738/00</t>
  </si>
  <si>
    <t>PTKP HR2738/00</t>
  </si>
  <si>
    <t>HR2738/00 Narenciye Sıkacağı</t>
  </si>
  <si>
    <t xml:space="preserve">PTKV ENERJİK </t>
  </si>
  <si>
    <t>ENERJİK Katı Meyve Sıkacağı</t>
  </si>
  <si>
    <t>RBV KIYMA</t>
  </si>
  <si>
    <t>Kıyma Makinesi</t>
  </si>
  <si>
    <t>Askı İpli</t>
  </si>
  <si>
    <t>SHA Askı İpli</t>
  </si>
  <si>
    <t>SLED 2000A İpli Askı Aparatı</t>
  </si>
  <si>
    <t>TV SEHBALARI</t>
  </si>
  <si>
    <t>SUREFİX 221</t>
  </si>
  <si>
    <t>SHA SUREFİX 221 Askı Sabit</t>
  </si>
  <si>
    <t>SUREFİX 221 Askı Aparatı Sabit 32"-40"</t>
  </si>
  <si>
    <t>SUREFİX 240</t>
  </si>
  <si>
    <t>SHA SUREFİX 240 Askı Sabit</t>
  </si>
  <si>
    <t>SUREFİX 240 Askı Aparatı Sabit 60"-82"</t>
  </si>
  <si>
    <t>SUREFIX 522</t>
  </si>
  <si>
    <t>SHA SUREFİX 522 Askı Hareketli</t>
  </si>
  <si>
    <t>SUREFİX 522 Askı Aparatı Hareketli 20x20</t>
  </si>
  <si>
    <t>TVSTRAP</t>
  </si>
  <si>
    <t>SHA TV STRAP SABİTLEME</t>
  </si>
  <si>
    <t>SONOROUS TVSTRAP Tv Sabitleme Kemeri</t>
  </si>
  <si>
    <t>BPT-2742</t>
  </si>
  <si>
    <t>SHB BOTECH 2742</t>
  </si>
  <si>
    <t xml:space="preserve">BPT-2742 Hareketli Askı Aparatı 27"- 42" </t>
  </si>
  <si>
    <t>BOTECH</t>
  </si>
  <si>
    <t>BP-2742</t>
  </si>
  <si>
    <t>SHB BOTECH 2742 Hareketli</t>
  </si>
  <si>
    <t xml:space="preserve">BP-2742 Hareketli Askı Sabit 27"- 42" </t>
  </si>
  <si>
    <t>BS 4265</t>
  </si>
  <si>
    <t>SHB BOTECH 4265 Askı Sabit</t>
  </si>
  <si>
    <t xml:space="preserve">BS-4265 Askı Sabit 42"- 65" </t>
  </si>
  <si>
    <t>BS 5565</t>
  </si>
  <si>
    <t>SHB BOTECH 5565 Askı Sabit</t>
  </si>
  <si>
    <t xml:space="preserve">BS-5565 Askı Sabit 55"- 65" </t>
  </si>
  <si>
    <t>BS 75100</t>
  </si>
  <si>
    <t>SHB BOTECH 75-100 Askı Sabit</t>
  </si>
  <si>
    <t xml:space="preserve">BS-75100 Askı Sabit 75"- 100" </t>
  </si>
  <si>
    <t>BHD340/10</t>
  </si>
  <si>
    <t>SKP BHD340/10</t>
  </si>
  <si>
    <t>BHD340/10 SAÇ KURUTMA MAK. 2100W</t>
  </si>
  <si>
    <t>BHD350/10</t>
  </si>
  <si>
    <t>SKP BHD350/10</t>
  </si>
  <si>
    <t>BHD350/10 Saç Kurutma Makinesi 2100W</t>
  </si>
  <si>
    <t>BHD500/00</t>
  </si>
  <si>
    <t>SKP BHD500/00</t>
  </si>
  <si>
    <t>BHD500/00 Saç Kurutma Makinesi 2100 W</t>
  </si>
  <si>
    <t>BHH808/00</t>
  </si>
  <si>
    <t>SKP BHH808/00</t>
  </si>
  <si>
    <t>BHH808/00 Saç Seramik Saç Düzleştirici Seti</t>
  </si>
  <si>
    <t>BHS520/00</t>
  </si>
  <si>
    <t>SKP S520/00</t>
  </si>
  <si>
    <t>BHS520/00 Saç Düzleştirici</t>
  </si>
  <si>
    <t>SKVD İyonik Tarak</t>
  </si>
  <si>
    <t>Saç Düzleştirici İyonik Tarak</t>
  </si>
  <si>
    <t>SKVD LAVANTA S/Ş</t>
  </si>
  <si>
    <t>Lavanta Saç Şekillendirici</t>
  </si>
  <si>
    <t>SKVD VSM 1038 Pembe</t>
  </si>
  <si>
    <t>VSM 1038 Pembe Saç Şekillendirici</t>
  </si>
  <si>
    <t>SKVD VSM 3045</t>
  </si>
  <si>
    <t>VSM 3045 Saç Şekillendirici</t>
  </si>
  <si>
    <t>SKVK VSK 1018 Pembe</t>
  </si>
  <si>
    <t>VSK 1018 Pembe Saç Kurutma Makinesi</t>
  </si>
  <si>
    <t>SKVK VSK 3020</t>
  </si>
  <si>
    <t>VSK 3020 Kablo Sarıcılı Saç Kurutma Makinesi</t>
  </si>
  <si>
    <t>SKVK VSK 5024</t>
  </si>
  <si>
    <t>VSK 5024 Saç Kurutma ve Fön Makinesi</t>
  </si>
  <si>
    <t>SKVK VSK 5024 D</t>
  </si>
  <si>
    <t>VSK 5024 D Saç Kurutma ve Fön Makinesi</t>
  </si>
  <si>
    <t>SKVM VSM 9220 G</t>
  </si>
  <si>
    <t>VSM 9220 G WAG MAŞA</t>
  </si>
  <si>
    <t>SKVM VSM 9220 GR</t>
  </si>
  <si>
    <t>VSM 9220 GR WAG MAŞA</t>
  </si>
  <si>
    <t>SKVŞ AÇELYA S s/ş</t>
  </si>
  <si>
    <t>AÇELYA S Saç Şekillendirici</t>
  </si>
  <si>
    <t>XB9125/07</t>
  </si>
  <si>
    <t>SPP 9125/07</t>
  </si>
  <si>
    <t>XB 9125/07 MARATON Torbasız Elektrik Süpürgesi</t>
  </si>
  <si>
    <t>XB9155/07</t>
  </si>
  <si>
    <t>SPP 9155/07</t>
  </si>
  <si>
    <t>XB 9155/07 MARATON Torbasız Elektrik Süpürgesi</t>
  </si>
  <si>
    <t>XB9185/07</t>
  </si>
  <si>
    <t>SPP 9185/07</t>
  </si>
  <si>
    <t>XB 9185/07 MARATON Torbasız Elektrik Süpürgesi</t>
  </si>
  <si>
    <t>FC9332/07</t>
  </si>
  <si>
    <t>SPP 9332/07</t>
  </si>
  <si>
    <t>FC 9332/07 Torbasız Elektrik Süpürgesi</t>
  </si>
  <si>
    <t>XB2142/09</t>
  </si>
  <si>
    <t>SPP XB2142/09</t>
  </si>
  <si>
    <t>XB2142/09 Torbasız Elektrik Süpürgesi</t>
  </si>
  <si>
    <t>XB7150/07</t>
  </si>
  <si>
    <t>SPP XB7150/07</t>
  </si>
  <si>
    <t>XB7150/07 MARATON Torbasız Elektrik Süpürgesi</t>
  </si>
  <si>
    <t>XB7151/07</t>
  </si>
  <si>
    <t>SPP XB7151/07</t>
  </si>
  <si>
    <t>XB7151/07 MARATON Torbasız Elektrik Süpürgesi</t>
  </si>
  <si>
    <t>XC6557/01</t>
  </si>
  <si>
    <t>SPP XC6557/01</t>
  </si>
  <si>
    <t>XC6557/01 Kablosuz Şarjlı Dikey Süpürge</t>
  </si>
  <si>
    <t>XC7055/01</t>
  </si>
  <si>
    <t>SPP XC7055/01</t>
  </si>
  <si>
    <t>XC7055/01 Kablosuz Şarjlı Dikey Süpürge</t>
  </si>
  <si>
    <t>XC8049/01</t>
  </si>
  <si>
    <t>SPP XC8049/01</t>
  </si>
  <si>
    <t xml:space="preserve"> XC8049/01 Kablosuz Şarjlı Dikey Süpürge</t>
  </si>
  <si>
    <t>XC8054/01</t>
  </si>
  <si>
    <t>SPP XC8054</t>
  </si>
  <si>
    <t>XC8054/01 AQUA Şarjlı Dikey Süpürge</t>
  </si>
  <si>
    <t>XU2100/20</t>
  </si>
  <si>
    <t xml:space="preserve">SPP XU2100/20 </t>
  </si>
  <si>
    <t>XU2100/20 İstasyonlu Beyaz Robot Süpürge</t>
  </si>
  <si>
    <t>VC07R302MVR/TR</t>
  </si>
  <si>
    <t>SPS 07R302MVR</t>
  </si>
  <si>
    <t>VC07R302MVR/TR Elektrikli Süpürge</t>
  </si>
  <si>
    <t>VCA-SBTA60/VT</t>
  </si>
  <si>
    <t>SPS VCA-SBTA60/VT</t>
  </si>
  <si>
    <t>VCA-SBTA60/VT JET 60 / JET 75 BATARYA</t>
  </si>
  <si>
    <t>VS15A6031R1/TR</t>
  </si>
  <si>
    <t>SPS VS15A6031R1</t>
  </si>
  <si>
    <t>VS15A6031R1/TR Dikey/Pratik Elektrikli Süpürge</t>
  </si>
  <si>
    <t>VS15A6031R4/TR</t>
  </si>
  <si>
    <t>SPS VS15A6031R4</t>
  </si>
  <si>
    <t>VS15A6031R4/TR Dikey/Pratik Elektrikli Süpürge</t>
  </si>
  <si>
    <t>VS15T7036R5/TR</t>
  </si>
  <si>
    <t>SPS VS15T7036R5</t>
  </si>
  <si>
    <t>VS15T7036R5/TR Dikey/Pratik Elektrikli Süpürge</t>
  </si>
  <si>
    <t>VS20C8524TB/TR</t>
  </si>
  <si>
    <t>SPS VS20C8524TB</t>
  </si>
  <si>
    <t>VS20C8524TB/TR JET Dikey/Pratik Elektrikli Süpürge</t>
  </si>
  <si>
    <t>VS80F28DFP/TR</t>
  </si>
  <si>
    <t>SPS VS80F28DFP</t>
  </si>
  <si>
    <t>VS80F28DFP/TR Bespoke Dikey/Pratik Elektrikli Süpürge</t>
  </si>
  <si>
    <t>VS90F40DAK/TR</t>
  </si>
  <si>
    <t>SPS VS90F40DAK</t>
  </si>
  <si>
    <t>VS90F40DAK/TR Bespoke Dikey/Pratik Elektrikli Süpürge</t>
  </si>
  <si>
    <t>SPV H20 K</t>
  </si>
  <si>
    <t>H20 K Elektrikli Süpürge Kırmızı</t>
  </si>
  <si>
    <t>SPV H30 M</t>
  </si>
  <si>
    <t>H30 M Toz Torbasız Elektrikli Süpürge Siyah-Mavi</t>
  </si>
  <si>
    <t>SPV H35 T</t>
  </si>
  <si>
    <t>H35 T Elektrikli Süpürge Siyah-Gold</t>
  </si>
  <si>
    <t>SPV H60 M</t>
  </si>
  <si>
    <t>H60 M Elektrikli Süpürge Lacivert</t>
  </si>
  <si>
    <t>SPV H70 T</t>
  </si>
  <si>
    <t>H70 T Elektrikli Süpürge Gri</t>
  </si>
  <si>
    <t>SPV K20 G</t>
  </si>
  <si>
    <t>K20 G Dikey Elektrikli Süpürge</t>
  </si>
  <si>
    <t>SPV S35 K</t>
  </si>
  <si>
    <t>S35 K Şarjlı Süpürge</t>
  </si>
  <si>
    <t>SPV S50 B</t>
  </si>
  <si>
    <t>S50 B Şarjlı Süpürge</t>
  </si>
  <si>
    <t>SPV S65 M</t>
  </si>
  <si>
    <t>S65 M Şarjlı Süpürge Mavi</t>
  </si>
  <si>
    <t>SPV T40 G</t>
  </si>
  <si>
    <t>T40 G Toz Torbalı Elektrikli Süpürge</t>
  </si>
  <si>
    <t>SPV YILDIZ T8500</t>
  </si>
  <si>
    <t>YILDIZ T8500 Elektrikli Süpürge</t>
  </si>
  <si>
    <t>SPVM MELTEM T3500 V</t>
  </si>
  <si>
    <t>MELTEM T3500 V Elektrikli Süpürge</t>
  </si>
  <si>
    <t>SPVT T20 B</t>
  </si>
  <si>
    <t>T20 B Elektrikli Süpürge</t>
  </si>
  <si>
    <t>SPVT T20 S</t>
  </si>
  <si>
    <t>T20 S Elektrikli Süpürge</t>
  </si>
  <si>
    <t>ŞBV 80 EKH</t>
  </si>
  <si>
    <t>TRM 80 EKH Elektronik Termosifon</t>
  </si>
  <si>
    <t>ŞOFBEN-TERMOSİFON</t>
  </si>
  <si>
    <t>ŞBV FİŞLİ TERMOSİFON MONTAJ</t>
  </si>
  <si>
    <t>Fişli Termosifon Montaj Kiti</t>
  </si>
  <si>
    <t>ŞBV TERMOSİFON KLMFBR-2</t>
  </si>
  <si>
    <t>TERMOSİFON MONTAJ KİTİ KLMFBR-2</t>
  </si>
  <si>
    <t>ŞBV TERMOSİFON MONTAJ</t>
  </si>
  <si>
    <t>Termosifon Montaj Kiti KLMFBR</t>
  </si>
  <si>
    <t>ŞBV TRM 65 EK</t>
  </si>
  <si>
    <t>TRM 65 EK Termosifon</t>
  </si>
  <si>
    <t>ŞBV TRM 65 EKH</t>
  </si>
  <si>
    <t>TRM 65 EKH Termosifon</t>
  </si>
  <si>
    <t>NOTVEX32</t>
  </si>
  <si>
    <t>TLNJ 32" TV</t>
  </si>
  <si>
    <t>32" TV Ekran Koruyucu</t>
  </si>
  <si>
    <t>NOTVEX</t>
  </si>
  <si>
    <t>NOTVEX43</t>
  </si>
  <si>
    <t>TLNJ 43" TV</t>
  </si>
  <si>
    <t>43" TV Ekran Koruyucu</t>
  </si>
  <si>
    <t>NOTVEX50</t>
  </si>
  <si>
    <t>TLNJ 50" TV</t>
  </si>
  <si>
    <t>50" TV Ekran Koruyucu</t>
  </si>
  <si>
    <t>NOTVEX55</t>
  </si>
  <si>
    <t>TLNJ 55" TV</t>
  </si>
  <si>
    <t>55" TV Ekran Koruyucu</t>
  </si>
  <si>
    <t>NOTVEX65</t>
  </si>
  <si>
    <t>TLNJ 65" TV</t>
  </si>
  <si>
    <t>65" TV Ekran Koruyucu</t>
  </si>
  <si>
    <t>NOTVEX75</t>
  </si>
  <si>
    <t>TLNJ 75" TV</t>
  </si>
  <si>
    <t>75" TV Ekran Koruyucu</t>
  </si>
  <si>
    <t>NOTVEX85</t>
  </si>
  <si>
    <t>TLNJ 85" TV</t>
  </si>
  <si>
    <t>85" TV Ekran Koruyucu</t>
  </si>
  <si>
    <t>SM-A266BZKCTUR</t>
  </si>
  <si>
    <t>TLS A26 8/256Gb Black</t>
  </si>
  <si>
    <t>SM-A266BZKCTUR A26 Siyah Cep Telefonu 8/256Gb</t>
  </si>
  <si>
    <t>..CEP TELEFONU</t>
  </si>
  <si>
    <t>SM-A266BZICTUR</t>
  </si>
  <si>
    <t>TLS A26 8/256Gb Peach Pink</t>
  </si>
  <si>
    <t>SM-A266BZICTUR A26 Pembe Cep Telefonu 8/256Gb</t>
  </si>
  <si>
    <t>SM-A065FZDGTUR</t>
  </si>
  <si>
    <t>TLS GALAXY A06 128GB Gold</t>
  </si>
  <si>
    <t>SM-A065FZDGTUR A06 Gold Cep Telefonu 4GB/128GB</t>
  </si>
  <si>
    <t>SM-A165FZABTUR</t>
  </si>
  <si>
    <t>TLS GALAXY A16 4GB/128GB Gray</t>
  </si>
  <si>
    <t>SM-A165FZABTUR A16 Gri Cep Telefonu 4/128 Gb</t>
  </si>
  <si>
    <t>SM-A176BZBBTUR</t>
  </si>
  <si>
    <t>TLS GALAXY A17 6GB/128GB Blue</t>
  </si>
  <si>
    <t>SM-A176BZBBTUR A17 Mavi Cep Telefonu 6/128Gb</t>
  </si>
  <si>
    <t>SM-A176BZKDTUR</t>
  </si>
  <si>
    <t>TLS GALAXY A17 8GB/256GB Black</t>
  </si>
  <si>
    <t>SM-A176BZKDTUR A17 Siyah Cep Telefonu 8/256Gb</t>
  </si>
  <si>
    <t>SM-A176BZBDTUR</t>
  </si>
  <si>
    <t>TLS GALAXY A17 8GB/256GB Blue</t>
  </si>
  <si>
    <t>SM-A176BZBDTUR A17 Mavi Cep Telefonu 8/256Gb</t>
  </si>
  <si>
    <t>SM-A366BZKGTUR</t>
  </si>
  <si>
    <t>TLS GALAXY A36 8/256Gb Awesome Black</t>
  </si>
  <si>
    <t>SM-A366BZKGTUR A36 Siyah Cep Telefonu 8/256Gb</t>
  </si>
  <si>
    <t>SM-A366BLVGTUR</t>
  </si>
  <si>
    <t>TLS GALAXY A36 8/256Gb Awesome Lavender</t>
  </si>
  <si>
    <t>SM-A366BLVGTUR A36 Lavanta Cep Telefonu 8/256Gb</t>
  </si>
  <si>
    <t>SM-A366BLGGTUR</t>
  </si>
  <si>
    <t>TLS GALAXY A36 8/256Gb Awesome Lime</t>
  </si>
  <si>
    <t>SM-A366BLGGTUR A36 Yeşil Cep Telefonu 8/256Gb</t>
  </si>
  <si>
    <t>SM-A366BZAGTUR</t>
  </si>
  <si>
    <t>TLS GALAXY A36 8/256Gb Awesome White</t>
  </si>
  <si>
    <t>SM-A366BZAGTUR A36 Gri Cep Telefonu 8/256Gb</t>
  </si>
  <si>
    <t>SM-A566BZKCTUR</t>
  </si>
  <si>
    <t>TLS GALAXY A56 8/256Gb Awesome Graphite</t>
  </si>
  <si>
    <t>SM-A566BZKCTUR A56 Siyah Cep Telefonu 8/256Gb</t>
  </si>
  <si>
    <t>SM-A566BZACTUR</t>
  </si>
  <si>
    <t>TLS GALAXY A56 8/256Gb Awesome Lightgray</t>
  </si>
  <si>
    <t>SM-A566BZACTUR A56 Gri Cep Telefonu 8/256Gb</t>
  </si>
  <si>
    <t>SM-A566BZGCTUR</t>
  </si>
  <si>
    <t>TLS GALAXY A56 8/256Gb Awesome Olive</t>
  </si>
  <si>
    <t>SM-A566BZGCTUR A56 Yeşil Cep Telefonu 8/256Gb</t>
  </si>
  <si>
    <t>SM-S921BZYBTUR</t>
  </si>
  <si>
    <t>TLS S24 8/128Gb Amber Yellow</t>
  </si>
  <si>
    <t>SM-S921BZYBTUR S24 Sarı Cep Telefonu 8/128Gb</t>
  </si>
  <si>
    <t>SM-S721BLBDTUR</t>
  </si>
  <si>
    <t>TLS S24 FE 8GB/128GB Blue</t>
  </si>
  <si>
    <t>SM-S721BLBDTUR S24 FE Mavi Cep Telefonu 8GB/128GB</t>
  </si>
  <si>
    <t>SM-S721BLBGTUR</t>
  </si>
  <si>
    <t>TLS S24 FE 8GB/256GB Blue</t>
  </si>
  <si>
    <t>SM-S721BLBGTUR S24 FE Mavi Cep Telefonu 8GB/256GB</t>
  </si>
  <si>
    <t>SM-S931BLBDTUR</t>
  </si>
  <si>
    <t>TLS S25 128GB Icyblue</t>
  </si>
  <si>
    <t>SM-S931BLBDTUR S25 Buz Mavisi Cep Telefonu 128GB/12GB</t>
  </si>
  <si>
    <t>SM-S931BDBGTUR</t>
  </si>
  <si>
    <t>TLS S25 256GB Navy</t>
  </si>
  <si>
    <t>SM-S931BDBGTUR S25 Mavi Cep Telefonu 256GB/12GB</t>
  </si>
  <si>
    <t>SM-S937BZKGTUR</t>
  </si>
  <si>
    <t>TLS S25 Edge 512GB Titanium Jetblack</t>
  </si>
  <si>
    <t>SM-S937BZKGTUR S25 Edge Siyah Cep Telefonu 12GB/512GB</t>
  </si>
  <si>
    <t>SM-S937BZSGTUR</t>
  </si>
  <si>
    <t>TLS S25 Edge 512GB Titanium Silver</t>
  </si>
  <si>
    <t>SM-S937BZSGTUR S25 Edge Gri Cep Telefonu 512GB/12GB</t>
  </si>
  <si>
    <t>SM-S731BLBGTUR</t>
  </si>
  <si>
    <t>TLS S25 FE 256/GB Icyblue</t>
  </si>
  <si>
    <t>SM-S731BLBGTUR S25 FE Mavi Cep Telefonu 8GB/256GB</t>
  </si>
  <si>
    <t>SM-S731BZKGTUR</t>
  </si>
  <si>
    <t>TLS S25 FE 256/GB Jetblack</t>
  </si>
  <si>
    <t>SM-S731BZKGTUR S25 FE Siyah Cep Telefonu 8GB/256GB</t>
  </si>
  <si>
    <t>SM-S731BDBGTUR</t>
  </si>
  <si>
    <t>TLS S25 FE 256/GB Navy</t>
  </si>
  <si>
    <t>SM-S731BDBGTUR S25 FE Mavi Cep Telefonu 8GB/256GB</t>
  </si>
  <si>
    <t>SM-S938BZBDTUR</t>
  </si>
  <si>
    <t>TLS S25 Ultra 256GB Titanium Silverblue</t>
  </si>
  <si>
    <t>SM-S938BZBDTUR S25 Ultra Titanyum Mavi Cep Telefonu 256GB/12GB</t>
  </si>
  <si>
    <t>SM-S936BLBDTUR</t>
  </si>
  <si>
    <t>TLS S25+ 256/GB Icyblue</t>
  </si>
  <si>
    <t>SM-S936BLBDTUR S25+ Mavi Cep Telefonu 12GB/256GB</t>
  </si>
  <si>
    <t>SM-F741BLBGTUR</t>
  </si>
  <si>
    <t>TLS Z Flip6 12/256Gb Blue</t>
  </si>
  <si>
    <t>SM-F741BLBGTUR Galaxy Z Flip6 Mavi Cep Telefonu 12/256Gb</t>
  </si>
  <si>
    <t>SM-F766BDBGTUR</t>
  </si>
  <si>
    <t>TLS Z Flip7 12/256Gb Blue Shadow</t>
  </si>
  <si>
    <t>SM-F766BDBGTURGalaxy Z Flip7 Mavi Cep Telefonu 12/256Gb</t>
  </si>
  <si>
    <t>SM-F766BDBHTUR</t>
  </si>
  <si>
    <t>TLS Z Flip7 12/512Gb Blue Shadow</t>
  </si>
  <si>
    <t>SM-F766BDBHTUR Z Flip7 Mavi Cep Telefonu 12/512Gb</t>
  </si>
  <si>
    <t>SM-F761BZKGTUR</t>
  </si>
  <si>
    <t>TLS Z Flip7 FE 8/128Gb Black</t>
  </si>
  <si>
    <t>SM-F761BZKGTUR Galaxy Z Flip7 Siyah Cep Telefonu 8/128Gb</t>
  </si>
  <si>
    <t>SM-F761BZWGTUR</t>
  </si>
  <si>
    <t>TLS Z Flip7 FE 8/128Gb White</t>
  </si>
  <si>
    <t>SM-F761BZWGTUR Galaxy Z Flip7 Beyaz Cep Telefonu 8/128Gb</t>
  </si>
  <si>
    <t>SM-F956BZSCTUR</t>
  </si>
  <si>
    <t>TLS Z Fold6 12/512Gb Silver Shadow</t>
  </si>
  <si>
    <t>SM-F956BZSCTUR Z Fold6 Gümüş Cep Telefonu 12/512Gb</t>
  </si>
  <si>
    <t>SM-F966BZKBTUR</t>
  </si>
  <si>
    <t>TLS Z Fold7 12GB/256Gb Jetblack</t>
  </si>
  <si>
    <t>SM-F966BZKBTUR Z Fold7 Gece Siyahi Cep Telefonu 12GB/256Gb</t>
  </si>
  <si>
    <t>SM-F966BDBCTUR</t>
  </si>
  <si>
    <t>TLS Z Fold7 12GB/512Gb Blue Shadow</t>
  </si>
  <si>
    <t>SM-F966BDBCTUR Z Fold7 Mavi Cep Telefonu 12GB/512Gb</t>
  </si>
  <si>
    <t>SM-F966BZKCTUR</t>
  </si>
  <si>
    <t>TLS Z Fold7 12GB/512Gb Jetblack</t>
  </si>
  <si>
    <t>SM-F966BZKCTUR Z Fold7 Gece Siyahi Cep Telefonu 12GB/512Gb</t>
  </si>
  <si>
    <t>EP-P5400TBEGWW</t>
  </si>
  <si>
    <t>TLSB Kablosuz Hızlı Şarj Cihazı İkili 15W Blak</t>
  </si>
  <si>
    <t>EP-P5400TBEGWW Kablosuz Hızlı Şarj Cihazı İkili 15W Siyah</t>
  </si>
  <si>
    <t>SM-R390NZSATUR</t>
  </si>
  <si>
    <t>TLSG Galaxy Fit3 Silver</t>
  </si>
  <si>
    <t>SM-R390NZSATUR Galaxy Fit3 Gri</t>
  </si>
  <si>
    <t>SM-R861NZSATUR</t>
  </si>
  <si>
    <t>TLSG Galaxy Watch FE 40mm Silver</t>
  </si>
  <si>
    <t>SM-R861NZSATUR Galaxy Watch FE 40mm Gümüş Saat</t>
  </si>
  <si>
    <t>SM-R920NZKATUR</t>
  </si>
  <si>
    <t>TLSG Watch5 Pro 45mm Black Titanium</t>
  </si>
  <si>
    <t>SM-R920NZKATUR Galaxy Watch5 Pro 45mm Siyah Saat</t>
  </si>
  <si>
    <t>SM-L300NZEATUR</t>
  </si>
  <si>
    <t>TLSG Watch7 40mm Cream</t>
  </si>
  <si>
    <t>SM-L300NZEATUR Galaxy Watch7 40mm Krem Saat</t>
  </si>
  <si>
    <t>SM-L300NZGATUR</t>
  </si>
  <si>
    <t>TLSG Watch7 40mm Green</t>
  </si>
  <si>
    <t>SM-L300NZGATUR Galaxy Watch7 40mm Yeşil Saat</t>
  </si>
  <si>
    <t>SM-L310NZGATUR</t>
  </si>
  <si>
    <t>TLSG Watch7 44mm Creen</t>
  </si>
  <si>
    <t>SM-L310NZGATUR Galaxy Watch7 44mm Yeşil Saat</t>
  </si>
  <si>
    <t>SM-L310NZSATUR</t>
  </si>
  <si>
    <t>TLSG Watch7 44mm Silver</t>
  </si>
  <si>
    <t>SM-L310NZSATUR Galaxy Watch7 44mm Gri Saat</t>
  </si>
  <si>
    <t>SM-L320NZSATUR</t>
  </si>
  <si>
    <t>TLSG Watch8 40mm Silver</t>
  </si>
  <si>
    <t>SM-L320NZSATUR Galaxy Watch8 40mm Gri Saat</t>
  </si>
  <si>
    <t>SM-L330NDAATUR</t>
  </si>
  <si>
    <t>TLSG Watch8 44mm Graphite</t>
  </si>
  <si>
    <t>SM-L330NDAATUR Galaxy Watch8 44mm Siyah Saat</t>
  </si>
  <si>
    <t>SM-L330NZSATUR</t>
  </si>
  <si>
    <t>TLSG Watch8 44mm Silver</t>
  </si>
  <si>
    <t>SM-L330NZSATUR Galaxy Watch8 44mm Gri Saat</t>
  </si>
  <si>
    <t>SM-L500NZKATUR</t>
  </si>
  <si>
    <t>TLSG Watch8 46mm Black</t>
  </si>
  <si>
    <t>SM-L500NZKATUR Galaxy Watch8 46mm Siyah Saat</t>
  </si>
  <si>
    <t>SM-L500NZWATUR</t>
  </si>
  <si>
    <t>TLSG Watch8 46mm White</t>
  </si>
  <si>
    <t>SM-L500NZWATUR Galaxy Watch8 46mm Beyaz Saat</t>
  </si>
  <si>
    <t>MB-MC64SA/TR</t>
  </si>
  <si>
    <t>TLSH EVO Plus Micro 64GB</t>
  </si>
  <si>
    <t>MB-MC64SA/TR EVO Plus Hafıza Kartı 64GB</t>
  </si>
  <si>
    <t>MB-MC128SA/APC</t>
  </si>
  <si>
    <t>TLSH EVO Plus Micro128GB</t>
  </si>
  <si>
    <t>MB-MC128SA/APC EVO Plus Hafıza Kartı 128GB</t>
  </si>
  <si>
    <t>EO-IA500BBEGWW</t>
  </si>
  <si>
    <t>TLSK EO-IA500B 3.5mm Kablolu Kulaklık Blak</t>
  </si>
  <si>
    <t>EO-IA500BBEGWW Kulak İçi 3.5 mm Jaklı Kulaklık Siyah</t>
  </si>
  <si>
    <t>SM-R420NZKATUR</t>
  </si>
  <si>
    <t>TLSK Galaxy Buds3 FE Black</t>
  </si>
  <si>
    <t>SM-R420NZKATUR Galaxy Buds3 FE Siyah Kulaklık</t>
  </si>
  <si>
    <t>SM-R630NZWATUR</t>
  </si>
  <si>
    <t>TLSK Galaxy Buds3 Pro White</t>
  </si>
  <si>
    <t>SM-R630NZWATUR Galaxy Buds3 Pro Beyaz Kulaklık</t>
  </si>
  <si>
    <t>SM-R530NZAATUR</t>
  </si>
  <si>
    <t>TLSK Galaxy Buds3 Silver</t>
  </si>
  <si>
    <t>SM-R530NZAATUR Galaxy Buds3 Gri Kulaklık</t>
  </si>
  <si>
    <t>SM-R530NZWATUR</t>
  </si>
  <si>
    <t>TLSK Galaxy Buds3 White</t>
  </si>
  <si>
    <t>SM-R530NZWATUR Galaxy Buds3 White Kulaklık</t>
  </si>
  <si>
    <t>GP-FPF731HIGBT</t>
  </si>
  <si>
    <t>TLSK Galaxy Z Flip5 Flipsuit Kılıf</t>
  </si>
  <si>
    <t>GP-FPF731HIGBT Galaxy Z Flip5 Flipsuit Kılıf - Angry Panda</t>
  </si>
  <si>
    <t>EF-GS921CEEGWW</t>
  </si>
  <si>
    <t>TLSK S24 Kılıf</t>
  </si>
  <si>
    <t>EF-GS921CEEGWW S24 Standlı ve Kordonlu Koyu Eflatun Kılıf</t>
  </si>
  <si>
    <t>EP-DN975BWEGWW</t>
  </si>
  <si>
    <t>TLSK USB-C To USB-C Data Kablosu  White- Type-C</t>
  </si>
  <si>
    <t>EP-DN975BWEGWW USB-C To USB-C Data Kablosu Beyaz Type-C</t>
  </si>
  <si>
    <t>EP-DN975BBEGWW</t>
  </si>
  <si>
    <t>TLSK USB-C To USB-C Data Kablosu Black - Type-C</t>
  </si>
  <si>
    <t>EP-DN975BBEGWW USB-C To USB-C Data Kablosu Siyah Type-C</t>
  </si>
  <si>
    <t>EF-PF741TJEGWW</t>
  </si>
  <si>
    <t>TLSK Z Flip6 Silikon Kılıf</t>
  </si>
  <si>
    <t>EF-PF741TJEGWW Z Flip6 Yüzüklü Silikon Kılıf</t>
  </si>
  <si>
    <t>EF-PF766TREGWW</t>
  </si>
  <si>
    <t>TLSK Z Flip7 Silikon Kılıf</t>
  </si>
  <si>
    <t>EF-PF766TREGWW Z Flip7 Yüzüklü Silikon Kılıf Kırmızı</t>
  </si>
  <si>
    <t>EF-AF966CTEGWW</t>
  </si>
  <si>
    <t>TLSK Z Fold7 Şeffaf Kılıf</t>
  </si>
  <si>
    <t>EF-AF966CTEGWW Z Fold7 Şeffaf Kılıf</t>
  </si>
  <si>
    <t>A06-EK</t>
  </si>
  <si>
    <t>TLSO A06-EK</t>
  </si>
  <si>
    <t>A06 Ekran Koruyucu</t>
  </si>
  <si>
    <t>A06-K</t>
  </si>
  <si>
    <t>TLSO A06-K</t>
  </si>
  <si>
    <t>A06 Kılıf</t>
  </si>
  <si>
    <t>A06-KS</t>
  </si>
  <si>
    <t>TLSO A06-KS</t>
  </si>
  <si>
    <t>A06 Kılıf Şeffaf</t>
  </si>
  <si>
    <t>A15-EKH</t>
  </si>
  <si>
    <t>TLSO A15-EKH</t>
  </si>
  <si>
    <t>A15 Ekran Koruyucu Hayalet</t>
  </si>
  <si>
    <t>A15-EKN</t>
  </si>
  <si>
    <t>TLSO A15-EKN</t>
  </si>
  <si>
    <t>A15 Ekran Koruyucu Nano</t>
  </si>
  <si>
    <t>A16-EK</t>
  </si>
  <si>
    <t>TLSO A16-EK</t>
  </si>
  <si>
    <t>A16 Ekran Koruyucu</t>
  </si>
  <si>
    <t>A16-K</t>
  </si>
  <si>
    <t>TLSO A16-K</t>
  </si>
  <si>
    <t>A16 Kılıf</t>
  </si>
  <si>
    <t>A16-KS</t>
  </si>
  <si>
    <t>TLSO A16-KS</t>
  </si>
  <si>
    <t>A16 Kılıf Şeffaf</t>
  </si>
  <si>
    <t>A25-KS</t>
  </si>
  <si>
    <t>TLSO A25-KS</t>
  </si>
  <si>
    <t>A25 Kılıf Şeffaf</t>
  </si>
  <si>
    <t>A26-EK</t>
  </si>
  <si>
    <t>TLSO A26-EK</t>
  </si>
  <si>
    <t>A26 Ekran Koruyucu</t>
  </si>
  <si>
    <t>A26-K</t>
  </si>
  <si>
    <t>TLSO A26-K</t>
  </si>
  <si>
    <t>A26 Kılıf</t>
  </si>
  <si>
    <t>A26-KS</t>
  </si>
  <si>
    <t>TLSO A26-KS</t>
  </si>
  <si>
    <t>A26 Kılıf Şeffaf</t>
  </si>
  <si>
    <t>A36-EK</t>
  </si>
  <si>
    <t>TLSO A36-EK</t>
  </si>
  <si>
    <t>A36 Ekran Koruyucu</t>
  </si>
  <si>
    <t>A36-K</t>
  </si>
  <si>
    <t>TLSO A36-K</t>
  </si>
  <si>
    <t>A36 Kılıf</t>
  </si>
  <si>
    <t>A36-KS</t>
  </si>
  <si>
    <t>TLSO A36-KS</t>
  </si>
  <si>
    <t>A36 Kılıf Şeffaf</t>
  </si>
  <si>
    <t>A55-EKN</t>
  </si>
  <si>
    <t>TLSO A55-EKN</t>
  </si>
  <si>
    <t>A55 Ekran Koruyucu Nano</t>
  </si>
  <si>
    <t>A56-EK</t>
  </si>
  <si>
    <t>TLSO A56-EKN</t>
  </si>
  <si>
    <t>A56 Ekran Koruyucu</t>
  </si>
  <si>
    <t>A56-K</t>
  </si>
  <si>
    <t>TLSO A56-K</t>
  </si>
  <si>
    <t>A56 Kılıf</t>
  </si>
  <si>
    <t>S24-K</t>
  </si>
  <si>
    <t>TLSO S24-K</t>
  </si>
  <si>
    <t>S24 Kılıf</t>
  </si>
  <si>
    <t>S24+EKN</t>
  </si>
  <si>
    <t>TLSO S24+EKN</t>
  </si>
  <si>
    <t>S24+ Ekran Koruyucu Nano</t>
  </si>
  <si>
    <t>S24+K</t>
  </si>
  <si>
    <t>TLSO S24+K</t>
  </si>
  <si>
    <t>S24+ Kılıf</t>
  </si>
  <si>
    <t>S24U-K</t>
  </si>
  <si>
    <t>TLSO S24U-K</t>
  </si>
  <si>
    <t>S24U Kılıf</t>
  </si>
  <si>
    <t>S25-K</t>
  </si>
  <si>
    <t>TLSO S25-K</t>
  </si>
  <si>
    <t>S25 Kılıf</t>
  </si>
  <si>
    <t>S25+EK</t>
  </si>
  <si>
    <t>TLSO S25+EK</t>
  </si>
  <si>
    <t>S25+ Ekran Koruyucu</t>
  </si>
  <si>
    <t>S25U-EK</t>
  </si>
  <si>
    <t>TLSO S25U-EK</t>
  </si>
  <si>
    <t>S25 Ultra Ekran Koruyucu</t>
  </si>
  <si>
    <t>EP-T1510XBEGWW</t>
  </si>
  <si>
    <t>TLSŞ HIZLI 15W Type-C Şarj Adapter Siyah</t>
  </si>
  <si>
    <t>EP-T1510XBEGWW Type-C 15W Şarj Adaptör Siyah</t>
  </si>
  <si>
    <t>EP-T1510XWEGWW</t>
  </si>
  <si>
    <t>TLSŞ HIZLI 15W Type-C Şarj Adapter White</t>
  </si>
  <si>
    <t>EP-T1510XWEGWW Type-C 15W Şarj Adaptör Beyaz</t>
  </si>
  <si>
    <t>EP-T2510NWEGWW</t>
  </si>
  <si>
    <t xml:space="preserve">TLSŞ HIZLI 25W Type-C Hızlı Şarj Adapter White </t>
  </si>
  <si>
    <t>EP-T2510NWEGWW Type-C 25W Şarj Adaptör Beyaz</t>
  </si>
  <si>
    <t>EP-T6530NBEGWW</t>
  </si>
  <si>
    <t>TLSŞ HIZLI 65W 25W 15W Type-C Şarj Adaptörü Black</t>
  </si>
  <si>
    <t>EP-T6530NBEGWW Type-C 65W Şarj Aleti Adaptörü Üçlü Siyah</t>
  </si>
  <si>
    <t>EP-L4020NBEGWW</t>
  </si>
  <si>
    <t>TLSŞ Hızlı Araç Şarj Aleti 25W 15W Blak</t>
  </si>
  <si>
    <t>EP-L4020NBEGWW Hızlı Araç Şarj Aleti Siyah</t>
  </si>
  <si>
    <t>EP-T4511XBEGWW</t>
  </si>
  <si>
    <t>TLSŞ HIZLI EP-T4511 45W Type-C Şarj Aleti Black</t>
  </si>
  <si>
    <t>EP-T4511XBEGWW Type-C 45W Şarj Aleti Siyah</t>
  </si>
  <si>
    <t>ECA-U16CBEGSTD</t>
  </si>
  <si>
    <t>TLSŞ USB ARAÇ ŞARJI</t>
  </si>
  <si>
    <t>ECA-U16CBEGSTD Usb Araç Şarjı</t>
  </si>
  <si>
    <t>TLV Akıllı Saat 2 Max Yeşil</t>
  </si>
  <si>
    <t>Akıllı Saat 2 Max Yeşil</t>
  </si>
  <si>
    <t>TLV AKILLI SAAT MAX2 SİYAH KAYIŞ</t>
  </si>
  <si>
    <t>AKILLI SAAT MAX2 SİYAH KAYIŞ</t>
  </si>
  <si>
    <t>TLVK V23 Kulaklık Beyaz</t>
  </si>
  <si>
    <t>V23 Minidots Beyaz Kulakiçi Kulaklık</t>
  </si>
  <si>
    <t>HD6301/90</t>
  </si>
  <si>
    <t>TOSP HD6301/90</t>
  </si>
  <si>
    <t>HD6301/90 Tost Makinesi</t>
  </si>
  <si>
    <t>TOSRV RUSTİK BEYAZ</t>
  </si>
  <si>
    <t>RUSTİK BEYAZ TOST MAKİNESİ</t>
  </si>
  <si>
    <t>YİYECEK PİŞİRME</t>
  </si>
  <si>
    <t>TOSRV RUSTİK SİYAH</t>
  </si>
  <si>
    <t>RUSTİK SİYAH TOST MAKİNESİ</t>
  </si>
  <si>
    <t>TOSRV SEFA T8500 X</t>
  </si>
  <si>
    <t>SEFA T8500 X TOST MAKİNESİ</t>
  </si>
  <si>
    <t>TOSRV T7000 PEMBE</t>
  </si>
  <si>
    <t>RETRO T7000 Pembe Tost Makinesi</t>
  </si>
  <si>
    <t>TOSV RETRO T7000 BORDO</t>
  </si>
  <si>
    <t>RETRO T7000 Tost Makinesi Bordo</t>
  </si>
  <si>
    <t>TOSV SEFA 7000 S</t>
  </si>
  <si>
    <t>SEFA 7000 S TOST MAKİNESİ</t>
  </si>
  <si>
    <t>TOSV SEFA 7500</t>
  </si>
  <si>
    <t>SEFA 7500 Tost Makinesi Düş Mavisi</t>
  </si>
  <si>
    <t>TOSV SEFA T8500 R</t>
  </si>
  <si>
    <t>SEFA T8500 R TOST MAKİNESİ</t>
  </si>
  <si>
    <t>TOSV ZİYAFET 8000 DX</t>
  </si>
  <si>
    <t>ZİYAFET 8000 DX Tost Makinesi Dark Inox</t>
  </si>
  <si>
    <t>TV4 50U9730</t>
  </si>
  <si>
    <t>4K SMART 50U9730 50" LED TV</t>
  </si>
  <si>
    <t>TV4 55UT9740</t>
  </si>
  <si>
    <t>4K SMART 55UT9740 50" LED TV</t>
  </si>
  <si>
    <t>TV4 55UT9840</t>
  </si>
  <si>
    <t>4K SMART 55UT9840 50" LED TV</t>
  </si>
  <si>
    <t>TVS 13QBRMBGCXEN</t>
  </si>
  <si>
    <t>LH13QBRMBGCXEN MONİTÖR 13"</t>
  </si>
  <si>
    <t>TVS 32DM702UUX</t>
  </si>
  <si>
    <t>LS32DM702UUXUF MONİTÖR</t>
  </si>
  <si>
    <t>TVS 43DM702UX</t>
  </si>
  <si>
    <t>LS43DM702UUXUF MONİTÖR</t>
  </si>
  <si>
    <t>TVS 50DU7000</t>
  </si>
  <si>
    <t>UE50DU7000UXTK 50" LED TV</t>
  </si>
  <si>
    <t>TVS 50U8000</t>
  </si>
  <si>
    <t>UE50U8000FUXTK 50" LED TV</t>
  </si>
  <si>
    <t>TVS 55DU7000</t>
  </si>
  <si>
    <t>UE55DU7000UXTK 55" LED TV</t>
  </si>
  <si>
    <t>TVS 55LS03DAU</t>
  </si>
  <si>
    <t>QE55LS03DAUXTK 55" QLED TV</t>
  </si>
  <si>
    <t>TVS 55LS03FAU</t>
  </si>
  <si>
    <t>QE55LS03FAUXTK 55" QLED TV</t>
  </si>
  <si>
    <t>TVS 55Q70DAT</t>
  </si>
  <si>
    <t>QE55Q70DATXTK 55" QLED TV</t>
  </si>
  <si>
    <t>TVS 55Q7F5AU</t>
  </si>
  <si>
    <t>QE55Q7F5AUXTK 55" QLED TV</t>
  </si>
  <si>
    <t>TVS 55QN70FAUX</t>
  </si>
  <si>
    <t>QE55QN70FAUXTK 55" QLED TV</t>
  </si>
  <si>
    <t>TVS 55S90FA</t>
  </si>
  <si>
    <t>QE55S90FAEXTK 55" LED TV</t>
  </si>
  <si>
    <t>TVS 55U8000</t>
  </si>
  <si>
    <t>UE55U8000FUXTK 55" LED TV</t>
  </si>
  <si>
    <t>TVS 65LS03DA</t>
  </si>
  <si>
    <t>QE65LS03DAUXTK 65" LED TV</t>
  </si>
  <si>
    <t>TVS 65Q7F5AUXTK</t>
  </si>
  <si>
    <t>QE65Q7F5AUXTK 65" QLED TV</t>
  </si>
  <si>
    <t>TVS 65QN70FAUX</t>
  </si>
  <si>
    <t>QE65QN70FAUXTK 65" QLED TV</t>
  </si>
  <si>
    <t>TVS 65QN90FATX</t>
  </si>
  <si>
    <t>QE65QN90FATXTK 65" QLED TV</t>
  </si>
  <si>
    <t>TVS 65S85FA</t>
  </si>
  <si>
    <t>QE65S85FAEXTK 65" LED TV</t>
  </si>
  <si>
    <t>TVS 65S90FA</t>
  </si>
  <si>
    <t>QE65S90FATXTK 65" LED TV</t>
  </si>
  <si>
    <t>TVS 65S95DA</t>
  </si>
  <si>
    <t>QE65S95DATXTK 65" LED TV</t>
  </si>
  <si>
    <t>TVS 65S95FA</t>
  </si>
  <si>
    <t>QE65S95FATXTK 65" LED TV</t>
  </si>
  <si>
    <t>TVS 65U8000</t>
  </si>
  <si>
    <t>UE65U8000FUXTK 65" LED TV</t>
  </si>
  <si>
    <t>TVS 75DU7100</t>
  </si>
  <si>
    <t>UE75DU7100UXTK 75" LED TV</t>
  </si>
  <si>
    <t>TVS 75LS03DAU</t>
  </si>
  <si>
    <t>QE75LS03DAUXTK 75" LED TV</t>
  </si>
  <si>
    <t>TVS 75LS03FWU</t>
  </si>
  <si>
    <t>QE75LS03FWUXTK 75" LED TV</t>
  </si>
  <si>
    <t>TVS 75Q70DA</t>
  </si>
  <si>
    <t>QE75Q70DATXTK 75" LED TV</t>
  </si>
  <si>
    <t>TVS 75Q7F5AUX</t>
  </si>
  <si>
    <t>QE75Q7F5AUXTK 75" QLED TV</t>
  </si>
  <si>
    <t>TVS 75QN70FAUX</t>
  </si>
  <si>
    <t>QE75QN70FAUXTK 75" QLED TV</t>
  </si>
  <si>
    <t>TVS 75QN90FATX</t>
  </si>
  <si>
    <t>QE75QN90FATXTK 75" QLED TV</t>
  </si>
  <si>
    <t>TVS 75U8000</t>
  </si>
  <si>
    <t>UE75U8000FUXTK 75" LED TV</t>
  </si>
  <si>
    <t>TVS 77S85FAEX</t>
  </si>
  <si>
    <t>QE77S85FAEXTK 77" OLED TV</t>
  </si>
  <si>
    <t>TVS 77S90FA</t>
  </si>
  <si>
    <t>QE77S90FAEXTK 77" OLED TV</t>
  </si>
  <si>
    <t>TVS 83S90FA</t>
  </si>
  <si>
    <t>QE83S90FAEXTK 83" OLED TV</t>
  </si>
  <si>
    <t>TVS 85DU7100</t>
  </si>
  <si>
    <t>UE85DU7100UXTK 85" LED TV</t>
  </si>
  <si>
    <t>TVS 85QN70FA</t>
  </si>
  <si>
    <t>QE85QN70FAUXTK 85" QLED TV</t>
  </si>
  <si>
    <t>TVS 85QN90FA</t>
  </si>
  <si>
    <t>QE85QN90FATXTK 85" QLED TV</t>
  </si>
  <si>
    <t>TVS 85U8000</t>
  </si>
  <si>
    <t>UE85U8000FUXTK 85" LED TV</t>
  </si>
  <si>
    <t>TVS QE55S85FA</t>
  </si>
  <si>
    <t>QE55S85FAUXTK 55" OLED TV</t>
  </si>
  <si>
    <t>TVS QE77S95FAT</t>
  </si>
  <si>
    <t>QE77S95FATXTK 77" OLED TV</t>
  </si>
  <si>
    <t>TVS UE43U8000</t>
  </si>
  <si>
    <t>UE43U8000FUXTK 43" LED TV</t>
  </si>
  <si>
    <t>TVS UE98DU9000</t>
  </si>
  <si>
    <t>UE98DU9000UXTK 98" LED TV</t>
  </si>
  <si>
    <t>TVS83S85FA</t>
  </si>
  <si>
    <t>QE83S85FAEXTK 83" LED TV</t>
  </si>
  <si>
    <t>HDMI ADAPTOR AD 130</t>
  </si>
  <si>
    <t>TVSA MALE TO FEMALE 90 (AD 130)</t>
  </si>
  <si>
    <t>MALE TO FEMALE 90 DERECE (AD130)</t>
  </si>
  <si>
    <t>SA9001/WT</t>
  </si>
  <si>
    <t>TVSA SA9001/WT</t>
  </si>
  <si>
    <t>SA9001/WT Akım Korumalı Akıllı Priz</t>
  </si>
  <si>
    <t xml:space="preserve">SHAZA </t>
  </si>
  <si>
    <t>SCREENSAVER150ML</t>
  </si>
  <si>
    <t>TVSA SCREEN SAVER ML.+Havlu</t>
  </si>
  <si>
    <t>SCREEN SAVER 150ML.+Havlu Ekran Temizleme</t>
  </si>
  <si>
    <t xml:space="preserve">TVSA VG-SCFA55TKBRU </t>
  </si>
  <si>
    <t>VG-SCFA55TKBRU Tv Çerçevesi</t>
  </si>
  <si>
    <t>TVSA VG-SCFA65TKBRU</t>
  </si>
  <si>
    <t>VG-SCFA65TKBRU Tv Çerçevesi</t>
  </si>
  <si>
    <t>TVSA VG-SCFA75TKBRU</t>
  </si>
  <si>
    <t>VG-SCFA75TKBRU Tv Çerçevesi</t>
  </si>
  <si>
    <t>TVSA VG-SCFF75TKBZN</t>
  </si>
  <si>
    <t>VG-SCFF75TKBZN Tv Çerçevesi</t>
  </si>
  <si>
    <t>TVSK 1000/XC</t>
  </si>
  <si>
    <t>SEK-1000/XC Evolution Kit</t>
  </si>
  <si>
    <t>TSK19020</t>
  </si>
  <si>
    <t>TVTA TSK19020 Akım Koruma</t>
  </si>
  <si>
    <t xml:space="preserve">TSK19020 POWERSURGE 1 Lİ SİYAH </t>
  </si>
  <si>
    <t>TUNCMATIK</t>
  </si>
  <si>
    <t>TVV 22F8500</t>
  </si>
  <si>
    <t>COLOR 22F8500 22" LED TV</t>
  </si>
  <si>
    <t>TVV 22FA5100</t>
  </si>
  <si>
    <t>COLOR 22FA5100 22" LED TV</t>
  </si>
  <si>
    <t>TVV 22FA5100K</t>
  </si>
  <si>
    <t>COLOR 22FA5100K 22'' LED TV Kırmızı</t>
  </si>
  <si>
    <t>TVV 22FA5100L</t>
  </si>
  <si>
    <t>COLOR 22FA5100L 22'' LED TV Mor</t>
  </si>
  <si>
    <t>TVV 24HA9520M</t>
  </si>
  <si>
    <t>24HA9520M 24" STREAM ANDROID TV</t>
  </si>
  <si>
    <t>TVV 32F8500</t>
  </si>
  <si>
    <t>32F8500 32" LED TV</t>
  </si>
  <si>
    <t>TVV 32H9520B</t>
  </si>
  <si>
    <t>32H9520B 32" Wi-Fi MOBIL TV</t>
  </si>
  <si>
    <t>TVV 32H9520M</t>
  </si>
  <si>
    <t>32H9520M 32" Wi-Fi MOBIL TV</t>
  </si>
  <si>
    <t>TVV 32H9520Y</t>
  </si>
  <si>
    <t>32H9520Y 32" Wi-Fi MOBIL TV</t>
  </si>
  <si>
    <t>TVV 43F9510</t>
  </si>
  <si>
    <t>43F9510 43" SMART LED TV</t>
  </si>
  <si>
    <t>TVV 43F9530</t>
  </si>
  <si>
    <t>43F9530 43" SMART LED TV</t>
  </si>
  <si>
    <t>TVV 43F9600</t>
  </si>
  <si>
    <t>43F9600 43" SMART  LED TV</t>
  </si>
  <si>
    <t>TVV 43FT9740</t>
  </si>
  <si>
    <t>43FT9740 43" SMART LED TV</t>
  </si>
  <si>
    <t xml:space="preserve">TVV 43FV9750 </t>
  </si>
  <si>
    <t>43FV9750  43" SMART VIDAA TV</t>
  </si>
  <si>
    <t>TVV 43Q9900</t>
  </si>
  <si>
    <t>43Q9900 QLED 4K SMART TV</t>
  </si>
  <si>
    <t>TVV 43U9631</t>
  </si>
  <si>
    <t>4K SMART 43U9631 43" LED TV</t>
  </si>
  <si>
    <t>TVV 43U9730</t>
  </si>
  <si>
    <t>4K SMART 43U9730 43" LED TV</t>
  </si>
  <si>
    <t>TVV 43UA9631</t>
  </si>
  <si>
    <t>4K ANDROID 43UA9631 43" LED TV</t>
  </si>
  <si>
    <t>TVV 43UT9740</t>
  </si>
  <si>
    <t>4K SMART 43UT9740 43" LED TV</t>
  </si>
  <si>
    <t>TVV 50QA9700</t>
  </si>
  <si>
    <t>50QA9700 50" QLED 4K ANDROID TV</t>
  </si>
  <si>
    <t>TVV 50UG9750</t>
  </si>
  <si>
    <t>50UG9750 50" 4K GOOGLE TV</t>
  </si>
  <si>
    <t>TVV 50UV9750</t>
  </si>
  <si>
    <t>50UV9750 50" 4K SMART VIDAA TV</t>
  </si>
  <si>
    <t xml:space="preserve">TVV 55Q9900 </t>
  </si>
  <si>
    <t>55Q9900 QLED 4K SMART TV</t>
  </si>
  <si>
    <t>TVV 55QA9701</t>
  </si>
  <si>
    <t>55QA9701 55" QLED 4K ANDROID TV</t>
  </si>
  <si>
    <t xml:space="preserve">TVV 55QT9850 </t>
  </si>
  <si>
    <t>55QT9850 4K SMART QLED TV</t>
  </si>
  <si>
    <t>TVV 55U9631</t>
  </si>
  <si>
    <t>4K SMART 55U9631 55" LED TV</t>
  </si>
  <si>
    <t>TVV 55UA9090</t>
  </si>
  <si>
    <t>4K ANDROID 55UA9090 55" LED TV</t>
  </si>
  <si>
    <t>TVV 55UA9631</t>
  </si>
  <si>
    <t>4K ANDROID 55UA9631 55" LED TV</t>
  </si>
  <si>
    <t>TVV 55UA9740</t>
  </si>
  <si>
    <t>4K ANDROID 55UA9740 55" LED TV</t>
  </si>
  <si>
    <t>TVV 55UA9900</t>
  </si>
  <si>
    <t>4K ANDROID 55UA9900 55" LED TV</t>
  </si>
  <si>
    <t>TVV 55UG9630</t>
  </si>
  <si>
    <t>55UG9630 55" 4K GOOGLE TV</t>
  </si>
  <si>
    <t>TVV 55UG9750</t>
  </si>
  <si>
    <t>55UG9750 55" 4K GOOGLE TV</t>
  </si>
  <si>
    <t xml:space="preserve">TVV 55UV9750 </t>
  </si>
  <si>
    <t>55UV9750 55" 4K SMART VIDAA TV</t>
  </si>
  <si>
    <t>TVV 58U9500</t>
  </si>
  <si>
    <t>4K SMART 58U9500 58" LED TV</t>
  </si>
  <si>
    <t>TVV 58U9510</t>
  </si>
  <si>
    <t>4K SMART 58U9510 58" LED TV</t>
  </si>
  <si>
    <t>TVV 65U9600</t>
  </si>
  <si>
    <t>4K SMART 65U9600 65" LED TV</t>
  </si>
  <si>
    <t>TVV 65U9631</t>
  </si>
  <si>
    <t>4K SMART 65U9631 65" LED TV</t>
  </si>
  <si>
    <t>TVV 65U9700</t>
  </si>
  <si>
    <t>65U9700 65" 4K SMART TV</t>
  </si>
  <si>
    <t>TVV 65UA9631</t>
  </si>
  <si>
    <t>4K ANDROID 65UA9631 65" LED TV</t>
  </si>
  <si>
    <t>TVV 65UT9740</t>
  </si>
  <si>
    <t>4K SMART 65UT9740 65" LED TV</t>
  </si>
  <si>
    <t>TVV 65UV9750</t>
  </si>
  <si>
    <t>65UV9750 65" 4K SMART VIDAA TV</t>
  </si>
  <si>
    <t>TVV 75UA9530</t>
  </si>
  <si>
    <t>4K ANDROID 75UA9530 75" LED TV</t>
  </si>
  <si>
    <t>CARBON/1200</t>
  </si>
  <si>
    <t>UFO CARBON/1200</t>
  </si>
  <si>
    <t>CARBON/1200W Infrared Isıtıcı</t>
  </si>
  <si>
    <t>UFO</t>
  </si>
  <si>
    <t>ERC-S2300</t>
  </si>
  <si>
    <t>UFO ERC-S 2300 W</t>
  </si>
  <si>
    <t>ERCİYUS Smart Kule ısıtıcı 2300 W</t>
  </si>
  <si>
    <t>MİCATRONİC/19</t>
  </si>
  <si>
    <t xml:space="preserve">UFO MİCATRONİC/19 </t>
  </si>
  <si>
    <t>MİCATRONİC/19 1900W Isıtıcı</t>
  </si>
  <si>
    <t>STAR S/24</t>
  </si>
  <si>
    <t>UFO STAR S/24 2400 W</t>
  </si>
  <si>
    <t>STAR S/24 2400 W Infrared Isıtıcı</t>
  </si>
  <si>
    <t>DST5030/80</t>
  </si>
  <si>
    <t>ÜTP 5030/80</t>
  </si>
  <si>
    <t>DST5030/80 Power Life Buharlı Ütü</t>
  </si>
  <si>
    <t>ÜTÜLER</t>
  </si>
  <si>
    <t>GC6842/30</t>
  </si>
  <si>
    <t>ÜTP 6842/30</t>
  </si>
  <si>
    <t>GC 6842/30 Sistem Ütü Kazanlı</t>
  </si>
  <si>
    <t>DST7022/40</t>
  </si>
  <si>
    <t>ÜTP DST7022/40</t>
  </si>
  <si>
    <t>DST7022/40 Buharlı Ütü</t>
  </si>
  <si>
    <t>DST7031/70</t>
  </si>
  <si>
    <t>ÜTP DST7031/70</t>
  </si>
  <si>
    <t>DST7031/70 Buharlı Ütü</t>
  </si>
  <si>
    <t>DST7040/80</t>
  </si>
  <si>
    <t>ÜTP DST7040/80</t>
  </si>
  <si>
    <t>DST7040/80 Buharlı Ütü</t>
  </si>
  <si>
    <t>DST7041/20</t>
  </si>
  <si>
    <t>ÜTP DST7041/20</t>
  </si>
  <si>
    <t>DST7041/20 Buharlı Ütü</t>
  </si>
  <si>
    <t>DST7510/80</t>
  </si>
  <si>
    <t>ÜTP DST7510/80</t>
  </si>
  <si>
    <t>DST7510/80 AZUR Buharlı Ütü</t>
  </si>
  <si>
    <t>DST7511/80</t>
  </si>
  <si>
    <t>ÜTP DST7511/80</t>
  </si>
  <si>
    <t>DST7511/80 AZUR Buharlı Ütü</t>
  </si>
  <si>
    <t>DST8040/30</t>
  </si>
  <si>
    <t>ÜTP DST8040/30</t>
  </si>
  <si>
    <t>DST8040/30 AZUR Buharlı Ütü</t>
  </si>
  <si>
    <t>DST8050/20</t>
  </si>
  <si>
    <t>ÜTP DST8050/20</t>
  </si>
  <si>
    <t>DST8050/20 AZUR Buharlı Ütü</t>
  </si>
  <si>
    <t>GC9682/80</t>
  </si>
  <si>
    <t xml:space="preserve">ÜTP GC 9682/80 </t>
  </si>
  <si>
    <t>GC 9682/80 Sistem Ütü Kazanlı</t>
  </si>
  <si>
    <t>PSG6026/20</t>
  </si>
  <si>
    <t>ÜTP PSG6026/20</t>
  </si>
  <si>
    <t>PSG6026/20 Sistem Buharlı Ütü</t>
  </si>
  <si>
    <t>PSG7150/30</t>
  </si>
  <si>
    <t>ÜTP PSG7150/30</t>
  </si>
  <si>
    <t>PSG7150/30 Sistem Buharlı Ütü</t>
  </si>
  <si>
    <t>PSG8030/20</t>
  </si>
  <si>
    <t>ÜTP PSG8030/20</t>
  </si>
  <si>
    <t>PSG8030/20 Sistem Ütü Kazanlı</t>
  </si>
  <si>
    <t>ÜTV VBJU 8026 Mor</t>
  </si>
  <si>
    <t>VBJU 8026 Mor Buhar Jenaratörlü Ütü</t>
  </si>
  <si>
    <t>ÜTV VBU 2724</t>
  </si>
  <si>
    <t>VBU 2724 MAVİ BUHARLI ÜTÜ</t>
  </si>
  <si>
    <t>ÜTV VBU 3024</t>
  </si>
  <si>
    <t>VBU 3024 BUHARLI ÜTÜ</t>
  </si>
  <si>
    <t>ÜTV VBU 3630</t>
  </si>
  <si>
    <t>VBU 3630 SİYAH BUHARLI ÜTÜ</t>
  </si>
  <si>
    <t>ÜTV VBU 4527 KIRMIZI</t>
  </si>
  <si>
    <t>VBU 4527 KIRMIZI BUHARLI ÜTÜ</t>
  </si>
  <si>
    <t>ÜTV VBU 4527 MOR</t>
  </si>
  <si>
    <t>VBU 4527 MOR BUHARLI ÜTÜ</t>
  </si>
  <si>
    <t>ÜTV VBU 4528 MOR</t>
  </si>
  <si>
    <t>VBU 4528 MOR BUHARLI ÜTÜ</t>
  </si>
  <si>
    <t>ÜTV VBU 5531</t>
  </si>
  <si>
    <t>VBU 5531 Buharlı Ütü</t>
  </si>
  <si>
    <t>ÜTVK 2000 B/J Lila</t>
  </si>
  <si>
    <t>V-PRESS 2000 Buhar Jeneratörlü Ütü Lila</t>
  </si>
  <si>
    <t>ÜTVK 2000 B/J Mavi</t>
  </si>
  <si>
    <t>V-Press Serisi 2000 Mavi Buhar Jeneratörlü Ütü</t>
  </si>
  <si>
    <t>ÜTVK VBJU 7830</t>
  </si>
  <si>
    <t>VBJU 7830 Buhar Jeneratörlü Ütü</t>
  </si>
  <si>
    <t>VNK KV 1021 S</t>
  </si>
  <si>
    <t>KV 1021 S KULE TİPİ VANTİLATÖR</t>
  </si>
  <si>
    <t>CX2550/00</t>
  </si>
  <si>
    <t>VNP CX2550/00</t>
  </si>
  <si>
    <t>CX2550/00 Ayaklı Vantilatör Beyaz</t>
  </si>
  <si>
    <t>VNV 4311 B</t>
  </si>
  <si>
    <t>AV 4311 B Vantilatör</t>
  </si>
  <si>
    <t>VNV HV1140 Hava Serinletici ve Isıtıcı</t>
  </si>
  <si>
    <t>AV HV1140 Hava Serinletici ve Isıtıcı</t>
  </si>
  <si>
    <t>YKH FT-202</t>
  </si>
  <si>
    <t>FT-202 Sabit Yazar Kasa</t>
  </si>
  <si>
    <t>YAZAR KASA</t>
  </si>
  <si>
    <t>HUGIN</t>
  </si>
  <si>
    <t>Ticari Kod</t>
  </si>
  <si>
    <t>Email</t>
  </si>
  <si>
    <t>Sifre</t>
  </si>
  <si>
    <t>Kilitli</t>
  </si>
  <si>
    <t>bilgi@aygunavm.com</t>
  </si>
  <si>
    <t>ahmet.genc@aygunavm.com</t>
  </si>
  <si>
    <t>aygun@aygunavm.com</t>
  </si>
  <si>
    <t>fatih@aygunavm.com</t>
  </si>
  <si>
    <t>fatih.sahin@aygunavm.com</t>
  </si>
  <si>
    <t>gulsah.gemci@aygunavm.com</t>
  </si>
  <si>
    <t>ismail.colak@aygunavm.com</t>
  </si>
  <si>
    <t>osman.basa@aygunavm.com</t>
  </si>
  <si>
    <t>pazarlama@aygunavm.com</t>
  </si>
  <si>
    <t>afatih.cam@aygunavm.com</t>
  </si>
  <si>
    <t>Emircan.telli@aygunavm.com</t>
  </si>
  <si>
    <t>atuncay.karpuzoglu@aygunavm.com</t>
  </si>
  <si>
    <t>derya.ozbek@aygunavm.com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</si>
</sst>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162"/>
      <scheme val="minor"/>
    </font>
    <font>
      <sz val="11"/>
      <color theme="1"/>
      <name val="Tahoma"/>
      <family val="2"/>
      <charset val="162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8"/>
      <color theme="5" tint="0.39997558519241921"/>
      <name val="Tahoma"/>
      <family val="2"/>
      <charset val="162"/>
    </font>
    <font>
      <sz val="8"/>
      <color theme="0"/>
      <name val="Calibri"/>
      <family val="2"/>
      <charset val="162"/>
      <scheme val="minor"/>
    </font>
    <font>
      <sz val="8"/>
      <color theme="1"/>
      <name val="Calibri"/>
      <family val="2"/>
      <charset val="162"/>
      <scheme val="minor"/>
    </font>
    <font>
      <sz val="8"/>
      <color theme="1"/>
      <name val="Arial"/>
      <family val="2"/>
      <charset val="162"/>
    </font>
    <font>
      <sz val="8"/>
      <color theme="0"/>
      <name val="Tahoma"/>
      <family val="2"/>
      <charset val="162"/>
    </font>
    <font>
      <sz val="8"/>
      <color theme="1"/>
      <name val="Tahoma"/>
      <family val="2"/>
      <charset val="162"/>
    </font>
    <font>
      <sz val="8"/>
      <color theme="2" tint="-0.499984740745262"/>
      <name val="Tahoma"/>
      <family val="2"/>
      <charset val="162"/>
    </font>
    <font>
      <i/>
      <sz val="8"/>
      <color theme="2" tint="-0.499984740745262"/>
      <name val="Tahoma"/>
      <family val="2"/>
      <charset val="162"/>
    </font>
    <font>
      <b/>
      <sz val="11"/>
      <color theme="5" tint="0.39997558519241921"/>
      <name val="Calibri"/>
      <family val="2"/>
      <charset val="162"/>
      <scheme val="minor"/>
    </font>
    <font>
      <sz val="8"/>
      <name val="Tahoma"/>
      <family val="2"/>
      <charset val="162"/>
    </font>
    <font>
      <i/>
      <sz val="11"/>
      <color theme="1"/>
      <name val="Tahoma"/>
      <family val="2"/>
      <charset val="162"/>
    </font>
    <font>
      <i/>
      <sz val="9"/>
      <color theme="1"/>
      <name val="Tahoma"/>
      <family val="2"/>
      <charset val="162"/>
    </font>
    <font>
      <b/>
      <i/>
      <sz val="11"/>
      <color theme="1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3" fontId="1" fillId="0" borderId="0" xfId="0" applyNumberFormat="1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1" fontId="8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/>
    </xf>
    <xf numFmtId="0" fontId="9" fillId="0" borderId="0" xfId="0" applyFont="1"/>
    <xf numFmtId="1" fontId="9" fillId="0" borderId="0" xfId="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0" fontId="11" fillId="0" borderId="0" xfId="0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0" fontId="12" fillId="0" borderId="0" xfId="0" applyFont="1" applyAlignment="1">
      <alignment horizontal="center"/>
    </xf>
    <xf numFmtId="1" fontId="9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left"/>
    </xf>
    <xf numFmtId="3" fontId="14" fillId="0" borderId="0" xfId="0" applyNumberFormat="1" applyFont="1" applyAlignment="1">
      <alignment vertical="center"/>
    </xf>
    <xf numFmtId="0" fontId="14" fillId="0" borderId="1" xfId="0" applyFont="1" applyBorder="1" applyAlignment="1">
      <alignment horizontal="center" vertical="center"/>
    </xf>
    <xf numFmtId="3" fontId="14" fillId="0" borderId="1" xfId="0" applyNumberFormat="1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horizontal="center" vertical="center" wrapText="1"/>
    </xf>
    <xf numFmtId="0" fontId="17" fillId="0" borderId="0" xfId="0" applyFont="1"/>
  </cellXfs>
  <cellStyles count="1">
    <cellStyle name="Normal" xfId="0" builtinId="0"/>
  </cellStyles>
  <dxfs count="20">
    <dxf>
      <font>
        <color rgb="FFFF00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C3300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border outline="0">
        <bottom style="double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65572ec456e5bde4/Documents/Fiyat%20Listesi-TV.xlsx" TargetMode="External"/><Relationship Id="rId1" Type="http://schemas.openxmlformats.org/officeDocument/2006/relationships/externalLinkPath" Target="https://d.docs.live.net/65572ec456e5bde4/Documents/Fiyat%20Listesi-TV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65572EC456E5BDE4" itemId="65572EC456E5BDE4!1481">
      <xxl21:absoluteUrl r:id="rId2"/>
    </xxl21:alternateUrls>
    <sheetNames>
      <sheetName val="2025"/>
      <sheetName val="2022"/>
      <sheetName val="Mağaza Stok"/>
      <sheetName val="Stok"/>
      <sheetName val="2024 (D Seri)"/>
    </sheetNames>
    <sheetDataSet>
      <sheetData sheetId="0">
        <row r="1">
          <cell r="A1" t="str">
            <v>Kod</v>
          </cell>
          <cell r="B1" t="str">
            <v>Yıl</v>
          </cell>
          <cell r="C1"/>
          <cell r="D1" t="str">
            <v>Toptan</v>
          </cell>
          <cell r="E1"/>
          <cell r="F1"/>
          <cell r="G1" t="str">
            <v>E Destek</v>
          </cell>
          <cell r="H1" t="str">
            <v>19-25 Şub</v>
          </cell>
          <cell r="I1"/>
          <cell r="J1" t="str">
            <v>E Maliyet</v>
          </cell>
          <cell r="K1" t="str">
            <v>Maliyet</v>
          </cell>
          <cell r="L1"/>
          <cell r="M1" t="str">
            <v>Mak Destek</v>
          </cell>
          <cell r="N1" t="str">
            <v>Mak Maliyet</v>
          </cell>
          <cell r="O1" t="str">
            <v>Fiyatlama</v>
          </cell>
          <cell r="P1"/>
          <cell r="T1"/>
          <cell r="U1" t="str">
            <v>Karlılık</v>
          </cell>
          <cell r="V1" t="str">
            <v>Stok</v>
          </cell>
          <cell r="W1" t="str">
            <v>Kampanya</v>
          </cell>
        </row>
        <row r="2">
          <cell r="A2" t="str">
            <v>UE50U8200FUXTK</v>
          </cell>
          <cell r="B2">
            <v>2025</v>
          </cell>
          <cell r="C2"/>
          <cell r="D2">
            <v>25075.414781297131</v>
          </cell>
          <cell r="E2">
            <v>0</v>
          </cell>
          <cell r="F2"/>
          <cell r="G2"/>
          <cell r="H2"/>
          <cell r="I2"/>
          <cell r="J2">
            <v>0</v>
          </cell>
          <cell r="K2">
            <v>25075.414781297131</v>
          </cell>
          <cell r="L2"/>
          <cell r="M2">
            <v>0</v>
          </cell>
          <cell r="N2">
            <v>25075.414781297131</v>
          </cell>
          <cell r="O2">
            <v>27000</v>
          </cell>
          <cell r="P2">
            <v>7.6751879699248349E-2</v>
          </cell>
          <cell r="Q2" t="str">
            <v>UE</v>
          </cell>
          <cell r="R2">
            <v>50</v>
          </cell>
          <cell r="S2" t="str">
            <v>U</v>
          </cell>
          <cell r="U2" t="str">
            <v>%7</v>
          </cell>
          <cell r="V2">
            <v>2</v>
          </cell>
          <cell r="W2" t="str">
            <v>Geo alınmayabilir</v>
          </cell>
        </row>
        <row r="3">
          <cell r="A3" t="str">
            <v>SEK-1000/XC</v>
          </cell>
          <cell r="B3">
            <v>2015</v>
          </cell>
          <cell r="C3"/>
          <cell r="D3">
            <v>700</v>
          </cell>
          <cell r="E3">
            <v>0</v>
          </cell>
          <cell r="F3"/>
          <cell r="G3"/>
          <cell r="H3"/>
          <cell r="I3"/>
          <cell r="J3">
            <v>0</v>
          </cell>
          <cell r="K3">
            <v>700</v>
          </cell>
          <cell r="L3"/>
          <cell r="M3">
            <v>0</v>
          </cell>
          <cell r="N3">
            <v>700</v>
          </cell>
          <cell r="O3">
            <v>750</v>
          </cell>
          <cell r="P3">
            <v>7.1428571428571397E-2</v>
          </cell>
          <cell r="Q3" t="str">
            <v>SE</v>
          </cell>
          <cell r="R3">
            <v>10</v>
          </cell>
          <cell r="S3" t="str">
            <v>-</v>
          </cell>
          <cell r="U3" t="str">
            <v>%6</v>
          </cell>
          <cell r="V3">
            <v>3</v>
          </cell>
          <cell r="W3" t="str">
            <v>Geo alınmayabilir ✦ Evolution Kit</v>
          </cell>
        </row>
        <row r="4">
          <cell r="A4" t="str">
            <v>VG-SCFA75TKBRU</v>
          </cell>
          <cell r="B4">
            <v>2022</v>
          </cell>
          <cell r="C4"/>
          <cell r="D4">
            <v>3244.2</v>
          </cell>
          <cell r="E4">
            <v>0</v>
          </cell>
          <cell r="F4"/>
          <cell r="G4"/>
          <cell r="H4"/>
          <cell r="I4"/>
          <cell r="J4">
            <v>0</v>
          </cell>
          <cell r="K4">
            <v>3244.2</v>
          </cell>
          <cell r="L4"/>
          <cell r="M4">
            <v>0</v>
          </cell>
          <cell r="N4">
            <v>3244.2</v>
          </cell>
          <cell r="O4">
            <v>3400</v>
          </cell>
          <cell r="P4">
            <v>4.8024166204303054E-2</v>
          </cell>
          <cell r="Q4" t="str">
            <v>VG</v>
          </cell>
          <cell r="R4" t="str">
            <v>CF</v>
          </cell>
          <cell r="S4" t="str">
            <v>S</v>
          </cell>
          <cell r="U4" t="str">
            <v>%6</v>
          </cell>
          <cell r="V4">
            <v>1</v>
          </cell>
          <cell r="W4" t="str">
            <v>Geo alınmayabilir ✦ Frame Tv ile çıkılmalıdır</v>
          </cell>
        </row>
        <row r="5">
          <cell r="A5" t="str">
            <v>VG-SCFA55TKBRU</v>
          </cell>
          <cell r="B5">
            <v>2022</v>
          </cell>
          <cell r="C5"/>
          <cell r="D5">
            <v>2364.2399999999998</v>
          </cell>
          <cell r="E5">
            <v>0</v>
          </cell>
          <cell r="F5"/>
          <cell r="G5"/>
          <cell r="H5"/>
          <cell r="I5"/>
          <cell r="J5">
            <v>0</v>
          </cell>
          <cell r="K5">
            <v>2364.2399999999998</v>
          </cell>
          <cell r="L5"/>
          <cell r="M5">
            <v>0</v>
          </cell>
          <cell r="N5">
            <v>2364.2399999999998</v>
          </cell>
          <cell r="O5">
            <v>2500</v>
          </cell>
          <cell r="P5">
            <v>5.7422258315568797E-2</v>
          </cell>
          <cell r="Q5" t="str">
            <v>VG</v>
          </cell>
          <cell r="R5" t="str">
            <v>CF</v>
          </cell>
          <cell r="S5" t="str">
            <v>S</v>
          </cell>
          <cell r="U5" t="str">
            <v>%6</v>
          </cell>
          <cell r="V5">
            <v>4</v>
          </cell>
          <cell r="W5" t="str">
            <v>Geo alınmayabilir ✦ Frame Tv ile çıkılmalıdır</v>
          </cell>
        </row>
        <row r="6">
          <cell r="A6" t="str">
            <v>VG-SCFF75TKBZN</v>
          </cell>
          <cell r="B6">
            <v>2025</v>
          </cell>
          <cell r="C6"/>
          <cell r="D6">
            <v>3189.6</v>
          </cell>
          <cell r="E6">
            <v>0</v>
          </cell>
          <cell r="F6"/>
          <cell r="G6"/>
          <cell r="H6"/>
          <cell r="I6"/>
          <cell r="J6">
            <v>0</v>
          </cell>
          <cell r="K6">
            <v>3189.6</v>
          </cell>
          <cell r="L6"/>
          <cell r="M6">
            <v>0</v>
          </cell>
          <cell r="N6">
            <v>3189.6</v>
          </cell>
          <cell r="O6">
            <v>3400</v>
          </cell>
          <cell r="P6">
            <v>6.5964384248808683E-2</v>
          </cell>
          <cell r="Q6" t="str">
            <v>VG</v>
          </cell>
          <cell r="R6" t="str">
            <v>CF</v>
          </cell>
          <cell r="S6" t="str">
            <v>S</v>
          </cell>
          <cell r="U6" t="str">
            <v>%7</v>
          </cell>
          <cell r="V6">
            <v>2</v>
          </cell>
          <cell r="W6" t="str">
            <v>Geo alınmayabilir ✦ Frame Tv ile çıkılmalıdır</v>
          </cell>
        </row>
        <row r="7">
          <cell r="A7" t="str">
            <v>LH13QBRMBGCXEN</v>
          </cell>
          <cell r="B7">
            <v>2023</v>
          </cell>
          <cell r="C7"/>
          <cell r="D7">
            <v>7000</v>
          </cell>
          <cell r="E7">
            <v>0</v>
          </cell>
          <cell r="F7"/>
          <cell r="G7"/>
          <cell r="H7"/>
          <cell r="I7"/>
          <cell r="J7">
            <v>0</v>
          </cell>
          <cell r="K7">
            <v>7000</v>
          </cell>
          <cell r="L7"/>
          <cell r="M7">
            <v>0</v>
          </cell>
          <cell r="N7">
            <v>7000</v>
          </cell>
          <cell r="O7">
            <v>7500</v>
          </cell>
          <cell r="P7">
            <v>7.1428571428571397E-2</v>
          </cell>
          <cell r="Q7" t="str">
            <v>LH</v>
          </cell>
          <cell r="R7">
            <v>13</v>
          </cell>
          <cell r="S7" t="str">
            <v>Q</v>
          </cell>
          <cell r="U7" t="str">
            <v>%6</v>
          </cell>
          <cell r="V7">
            <v>4</v>
          </cell>
          <cell r="W7" t="str">
            <v>Geo alınmayabilir ✦ Endüstriyel Monitör'dür. Mağazada kullanılmaktadır.</v>
          </cell>
        </row>
        <row r="8">
          <cell r="A8" t="str">
            <v>LS43FM700UUXUF</v>
          </cell>
          <cell r="B8">
            <v>2025</v>
          </cell>
          <cell r="C8"/>
          <cell r="D8">
            <v>14079.12</v>
          </cell>
          <cell r="E8">
            <v>0.05</v>
          </cell>
          <cell r="F8"/>
          <cell r="G8"/>
          <cell r="H8">
            <v>550</v>
          </cell>
          <cell r="I8"/>
          <cell r="J8">
            <v>0</v>
          </cell>
          <cell r="K8">
            <v>12852.664000000001</v>
          </cell>
          <cell r="L8"/>
          <cell r="M8">
            <v>550</v>
          </cell>
          <cell r="N8">
            <v>12852.664000000001</v>
          </cell>
          <cell r="O8">
            <v>14000</v>
          </cell>
          <cell r="P8">
            <v>8.9268341567164455E-2</v>
          </cell>
          <cell r="Q8" t="str">
            <v>LS</v>
          </cell>
          <cell r="R8">
            <v>43</v>
          </cell>
          <cell r="S8" t="str">
            <v>F</v>
          </cell>
          <cell r="U8" t="str">
            <v>%7</v>
          </cell>
          <cell r="V8">
            <v>8</v>
          </cell>
          <cell r="W8" t="str">
            <v xml:space="preserve">S Wallet x2 Kamp Ürünü ✦ Geo kodsuz 550 TL pahalanacaktır ✦ 4K Monitör 60 Hz 300 (cd/m2) Parlaklık  4 ms Tepki Süresi </v>
          </cell>
        </row>
        <row r="9">
          <cell r="A9" t="str">
            <v>LS32FM700UUXUF</v>
          </cell>
          <cell r="B9">
            <v>2025</v>
          </cell>
          <cell r="C9"/>
          <cell r="D9">
            <v>11879.124</v>
          </cell>
          <cell r="E9">
            <v>0.05</v>
          </cell>
          <cell r="F9"/>
          <cell r="G9"/>
          <cell r="H9">
            <v>954</v>
          </cell>
          <cell r="I9"/>
          <cell r="J9">
            <v>0</v>
          </cell>
          <cell r="K9">
            <v>10378.8678</v>
          </cell>
          <cell r="L9"/>
          <cell r="M9">
            <v>954</v>
          </cell>
          <cell r="N9">
            <v>10378.8678</v>
          </cell>
          <cell r="O9">
            <v>11000</v>
          </cell>
          <cell r="P9">
            <v>5.9845853321303544E-2</v>
          </cell>
          <cell r="Q9" t="str">
            <v>LS</v>
          </cell>
          <cell r="R9">
            <v>32</v>
          </cell>
          <cell r="S9" t="str">
            <v>F</v>
          </cell>
          <cell r="U9" t="str">
            <v>%7</v>
          </cell>
          <cell r="V9">
            <v>2</v>
          </cell>
          <cell r="W9" t="str">
            <v xml:space="preserve">S Wallet x2 Kamp Ürünü ✦ Geo kodsuz 954 TL pahalanacaktır ✦ 4K Monitör 60 Hz 300 (cd/m2) Parlaklık  4 ms Tepki Süresi </v>
          </cell>
        </row>
        <row r="10">
          <cell r="A10" t="str">
            <v>LS43DM702UUXUF</v>
          </cell>
          <cell r="B10">
            <v>2023</v>
          </cell>
          <cell r="C10"/>
          <cell r="D10">
            <v>12000</v>
          </cell>
          <cell r="E10">
            <v>0</v>
          </cell>
          <cell r="F10"/>
          <cell r="G10"/>
          <cell r="H10"/>
          <cell r="I10"/>
          <cell r="J10">
            <v>0</v>
          </cell>
          <cell r="K10">
            <v>12000</v>
          </cell>
          <cell r="L10"/>
          <cell r="M10">
            <v>0</v>
          </cell>
          <cell r="N10">
            <v>12000</v>
          </cell>
          <cell r="O10">
            <v>12500</v>
          </cell>
          <cell r="P10">
            <v>4.1666666666666741E-2</v>
          </cell>
          <cell r="Q10" t="str">
            <v>LS</v>
          </cell>
          <cell r="R10">
            <v>43</v>
          </cell>
          <cell r="S10" t="str">
            <v>D</v>
          </cell>
          <cell r="U10" t="str">
            <v>%6</v>
          </cell>
          <cell r="V10">
            <v>1</v>
          </cell>
          <cell r="W10" t="str">
            <v xml:space="preserve">Geo alınmayabilir ✦ 4K Monitör 60 Hz 300 (cd/m2) Parlaklık  4 ms Tepki Süresi </v>
          </cell>
        </row>
        <row r="11">
          <cell r="A11" t="str">
            <v>VG-FBB3BA/ZN</v>
          </cell>
          <cell r="B11">
            <v>2025</v>
          </cell>
          <cell r="C11"/>
          <cell r="D11">
            <v>10000</v>
          </cell>
          <cell r="E11">
            <v>0</v>
          </cell>
          <cell r="F11"/>
          <cell r="G11"/>
          <cell r="H11"/>
          <cell r="I11"/>
          <cell r="J11">
            <v>0</v>
          </cell>
          <cell r="K11">
            <v>10000</v>
          </cell>
          <cell r="L11"/>
          <cell r="M11">
            <v>0</v>
          </cell>
          <cell r="N11">
            <v>10000</v>
          </cell>
          <cell r="O11">
            <v>10500</v>
          </cell>
          <cell r="P11">
            <v>5.0000000000000044E-2</v>
          </cell>
          <cell r="Q11" t="str">
            <v>VG</v>
          </cell>
          <cell r="R11" t="str">
            <v>BB</v>
          </cell>
          <cell r="S11" t="str">
            <v>B</v>
          </cell>
          <cell r="U11" t="str">
            <v>%7</v>
          </cell>
          <cell r="V11">
            <v>1</v>
          </cell>
          <cell r="W11" t="str">
            <v>Geo alınmayabilir ✦ SP-LFF3CLAXXTK Ürün hediyesidir</v>
          </cell>
        </row>
        <row r="12">
          <cell r="A12" t="str">
            <v>QE65S95DATXTK</v>
          </cell>
          <cell r="B12">
            <v>2024</v>
          </cell>
          <cell r="C12">
            <v>116743</v>
          </cell>
          <cell r="D12"/>
          <cell r="E12">
            <v>9.9999999999999992E-2</v>
          </cell>
          <cell r="F12"/>
          <cell r="G12">
            <v>0.01</v>
          </cell>
          <cell r="H12"/>
          <cell r="I12"/>
          <cell r="J12">
            <v>105068.69100000001</v>
          </cell>
          <cell r="K12"/>
          <cell r="L12"/>
          <cell r="M12">
            <v>0.01</v>
          </cell>
          <cell r="N12">
            <v>105068.69100000001</v>
          </cell>
          <cell r="O12">
            <v>111500</v>
          </cell>
          <cell r="P12">
            <v>6.1210517983896873E-2</v>
          </cell>
          <cell r="Q12" t="str">
            <v>QE</v>
          </cell>
          <cell r="R12">
            <v>65</v>
          </cell>
          <cell r="S12" t="str">
            <v>S</v>
          </cell>
          <cell r="T12"/>
          <cell r="U12" t="str">
            <v>%6</v>
          </cell>
          <cell r="V12" t="str">
            <v>1+1</v>
          </cell>
          <cell r="W12" t="str">
            <v>Geo kodsuz 0 TL pahalanacaktır</v>
          </cell>
        </row>
        <row r="13">
          <cell r="A13" t="str">
            <v>QE75Q70DATXTK</v>
          </cell>
          <cell r="B13">
            <v>2024</v>
          </cell>
          <cell r="C13">
            <v>72074.039999999994</v>
          </cell>
          <cell r="D13"/>
          <cell r="E13">
            <v>9.9999999999999992E-2</v>
          </cell>
          <cell r="F13"/>
          <cell r="G13">
            <v>0.01</v>
          </cell>
          <cell r="H13"/>
          <cell r="I13"/>
          <cell r="J13">
            <v>64866.627</v>
          </cell>
          <cell r="K13"/>
          <cell r="L13"/>
          <cell r="M13">
            <v>0.01</v>
          </cell>
          <cell r="N13">
            <v>64866.627</v>
          </cell>
          <cell r="O13">
            <v>69000</v>
          </cell>
          <cell r="P13">
            <v>6.3721102686594033E-2</v>
          </cell>
          <cell r="Q13" t="str">
            <v>QE</v>
          </cell>
          <cell r="R13">
            <v>75</v>
          </cell>
          <cell r="S13" t="str">
            <v>Q</v>
          </cell>
          <cell r="T13"/>
          <cell r="U13" t="str">
            <v>%6</v>
          </cell>
          <cell r="V13" t="str">
            <v>0+1</v>
          </cell>
          <cell r="W13" t="str">
            <v>Geo kodsuz 0 TL pahalanacaktır</v>
          </cell>
        </row>
        <row r="14">
          <cell r="A14" t="str">
            <v>QE55Q7F5AUXTK</v>
          </cell>
          <cell r="B14">
            <v>2025</v>
          </cell>
          <cell r="C14"/>
          <cell r="D14">
            <v>41384.07</v>
          </cell>
          <cell r="E14">
            <v>9.9999999999999992E-2</v>
          </cell>
          <cell r="F14"/>
          <cell r="G14"/>
          <cell r="H14">
            <v>320.39999999999998</v>
          </cell>
          <cell r="I14"/>
          <cell r="J14">
            <v>0</v>
          </cell>
          <cell r="K14">
            <v>36957.303</v>
          </cell>
          <cell r="L14"/>
          <cell r="M14">
            <v>320.39999999999998</v>
          </cell>
          <cell r="N14">
            <v>36957.303</v>
          </cell>
          <cell r="O14">
            <v>39500</v>
          </cell>
          <cell r="P14">
            <v>6.8800934959999616E-2</v>
          </cell>
          <cell r="Q14" t="str">
            <v>QE</v>
          </cell>
          <cell r="R14">
            <v>55</v>
          </cell>
          <cell r="S14" t="str">
            <v>Q</v>
          </cell>
          <cell r="U14" t="str">
            <v>%7</v>
          </cell>
          <cell r="V14" t="str">
            <v>9+1</v>
          </cell>
          <cell r="W14" t="str">
            <v>Geo kodsuz 320 TL pahalanacaktır</v>
          </cell>
        </row>
        <row r="15">
          <cell r="A15" t="str">
            <v>QE55LS03FAUXTK</v>
          </cell>
          <cell r="B15">
            <v>2025</v>
          </cell>
          <cell r="C15"/>
          <cell r="D15">
            <v>60449.07</v>
          </cell>
          <cell r="E15">
            <v>9.9999999999999992E-2</v>
          </cell>
          <cell r="F15"/>
          <cell r="G15"/>
          <cell r="H15">
            <v>805.19999999999993</v>
          </cell>
          <cell r="I15"/>
          <cell r="J15">
            <v>0</v>
          </cell>
          <cell r="K15">
            <v>53679.483</v>
          </cell>
          <cell r="L15"/>
          <cell r="M15">
            <v>805.19999999999993</v>
          </cell>
          <cell r="N15">
            <v>53679.483</v>
          </cell>
          <cell r="O15">
            <v>57500</v>
          </cell>
          <cell r="P15">
            <v>7.1172760736164298E-2</v>
          </cell>
          <cell r="Q15" t="str">
            <v>QE</v>
          </cell>
          <cell r="R15">
            <v>55</v>
          </cell>
          <cell r="S15" t="str">
            <v>L</v>
          </cell>
          <cell r="U15" t="str">
            <v>%7</v>
          </cell>
          <cell r="V15">
            <v>4</v>
          </cell>
          <cell r="W15" t="str">
            <v>Geo kodsuz 805 TL pahalanacaktır</v>
          </cell>
        </row>
        <row r="16">
          <cell r="A16" t="str">
            <v>QE55QN70FAUXTK</v>
          </cell>
          <cell r="B16">
            <v>2025</v>
          </cell>
          <cell r="C16"/>
          <cell r="D16">
            <v>54869.07</v>
          </cell>
          <cell r="E16">
            <v>9.9999999999999992E-2</v>
          </cell>
          <cell r="F16"/>
          <cell r="G16"/>
          <cell r="H16">
            <v>3244.7999999999997</v>
          </cell>
          <cell r="I16"/>
          <cell r="J16">
            <v>0</v>
          </cell>
          <cell r="K16">
            <v>46461.842999999993</v>
          </cell>
          <cell r="L16"/>
          <cell r="M16">
            <v>3244.7999999999997</v>
          </cell>
          <cell r="N16">
            <v>46461.842999999993</v>
          </cell>
          <cell r="O16">
            <v>49500</v>
          </cell>
          <cell r="P16">
            <v>6.5390367747573119E-2</v>
          </cell>
          <cell r="Q16" t="str">
            <v>QE</v>
          </cell>
          <cell r="R16">
            <v>55</v>
          </cell>
          <cell r="S16" t="str">
            <v>Q</v>
          </cell>
          <cell r="U16" t="str">
            <v>%7</v>
          </cell>
          <cell r="V16">
            <v>9</v>
          </cell>
          <cell r="W16" t="str">
            <v>Geo kodsuz 3.245 TL pahalanacaktır</v>
          </cell>
        </row>
        <row r="17">
          <cell r="A17" t="str">
            <v>QE55S90FAEXTK</v>
          </cell>
          <cell r="B17">
            <v>2025</v>
          </cell>
          <cell r="C17"/>
          <cell r="D17">
            <v>91883.07</v>
          </cell>
          <cell r="E17">
            <v>9.9999999999999992E-2</v>
          </cell>
          <cell r="F17"/>
          <cell r="G17"/>
          <cell r="H17">
            <v>6814.8</v>
          </cell>
          <cell r="I17"/>
          <cell r="J17">
            <v>0</v>
          </cell>
          <cell r="K17">
            <v>76561.442999999999</v>
          </cell>
          <cell r="L17"/>
          <cell r="M17">
            <v>6814.8</v>
          </cell>
          <cell r="N17">
            <v>76561.442999999999</v>
          </cell>
          <cell r="O17">
            <v>82000</v>
          </cell>
          <cell r="P17">
            <v>7.1035194569151416E-2</v>
          </cell>
          <cell r="Q17" t="str">
            <v>QE</v>
          </cell>
          <cell r="R17">
            <v>55</v>
          </cell>
          <cell r="S17" t="str">
            <v>S</v>
          </cell>
          <cell r="U17" t="str">
            <v>%7</v>
          </cell>
          <cell r="V17">
            <v>1</v>
          </cell>
          <cell r="W17" t="str">
            <v>Geo kodsuz 6.815 TL pahalanacaktır</v>
          </cell>
        </row>
        <row r="18">
          <cell r="A18" t="str">
            <v>QE55S85FAUXTK</v>
          </cell>
          <cell r="B18">
            <v>2025</v>
          </cell>
          <cell r="C18"/>
          <cell r="D18">
            <v>75608.070000000007</v>
          </cell>
          <cell r="E18">
            <v>9.9999999999999992E-2</v>
          </cell>
          <cell r="F18"/>
          <cell r="G18"/>
          <cell r="H18">
            <v>1885.1999999999998</v>
          </cell>
          <cell r="I18"/>
          <cell r="J18">
            <v>0</v>
          </cell>
          <cell r="K18">
            <v>66350.583000000013</v>
          </cell>
          <cell r="L18"/>
          <cell r="M18">
            <v>1885.1999999999998</v>
          </cell>
          <cell r="N18">
            <v>66350.583000000013</v>
          </cell>
          <cell r="O18">
            <v>71000</v>
          </cell>
          <cell r="P18">
            <v>7.0073491290950418E-2</v>
          </cell>
          <cell r="Q18" t="str">
            <v>QE</v>
          </cell>
          <cell r="R18">
            <v>55</v>
          </cell>
          <cell r="S18" t="str">
            <v>S</v>
          </cell>
          <cell r="U18" t="str">
            <v>%7</v>
          </cell>
          <cell r="V18">
            <v>3</v>
          </cell>
          <cell r="W18" t="str">
            <v>Geo kodsuz 1.885 TL pahalanacaktır</v>
          </cell>
        </row>
        <row r="19">
          <cell r="A19" t="str">
            <v>QE65LS03FWUXTK</v>
          </cell>
          <cell r="B19">
            <v>2025</v>
          </cell>
          <cell r="C19"/>
          <cell r="D19">
            <v>88349.07</v>
          </cell>
          <cell r="E19">
            <v>9.9999999999999992E-2</v>
          </cell>
          <cell r="F19"/>
          <cell r="G19"/>
          <cell r="H19">
            <v>1329.6</v>
          </cell>
          <cell r="I19"/>
          <cell r="J19">
            <v>0</v>
          </cell>
          <cell r="K19">
            <v>78317.523000000001</v>
          </cell>
          <cell r="L19"/>
          <cell r="M19">
            <v>1329.6</v>
          </cell>
          <cell r="N19">
            <v>78317.523000000001</v>
          </cell>
          <cell r="O19">
            <v>84000</v>
          </cell>
          <cell r="P19">
            <v>7.255690402772319E-2</v>
          </cell>
          <cell r="Q19" t="str">
            <v>QE</v>
          </cell>
          <cell r="R19">
            <v>65</v>
          </cell>
          <cell r="S19" t="str">
            <v>L</v>
          </cell>
          <cell r="U19" t="str">
            <v>%7</v>
          </cell>
          <cell r="V19" t="str">
            <v>0</v>
          </cell>
          <cell r="W19" t="str">
            <v>5k S Wallet veya Mon veya SS x2 değerli (8 Mart) ✦ Geo kodsuz 1.330 TL pahalanacaktır ✦ 2-4T arası 1.800; Max. 4.450 TL indirim (25 Şub)</v>
          </cell>
        </row>
        <row r="20">
          <cell r="A20" t="str">
            <v>QE65QN70FAUXTK</v>
          </cell>
          <cell r="B20">
            <v>2025</v>
          </cell>
          <cell r="C20"/>
          <cell r="D20">
            <v>68354.070000000007</v>
          </cell>
          <cell r="E20">
            <v>9.9999999999999992E-2</v>
          </cell>
          <cell r="F20"/>
          <cell r="G20"/>
          <cell r="H20">
            <v>890.4</v>
          </cell>
          <cell r="I20"/>
          <cell r="J20">
            <v>0</v>
          </cell>
          <cell r="K20">
            <v>60717.303000000014</v>
          </cell>
          <cell r="L20"/>
          <cell r="M20">
            <v>890.4</v>
          </cell>
          <cell r="N20">
            <v>60717.303000000014</v>
          </cell>
          <cell r="O20">
            <v>65000</v>
          </cell>
          <cell r="P20">
            <v>7.0535033481312404E-2</v>
          </cell>
          <cell r="Q20" t="str">
            <v>QE</v>
          </cell>
          <cell r="R20">
            <v>65</v>
          </cell>
          <cell r="S20" t="str">
            <v>Q</v>
          </cell>
          <cell r="T20" t="str">
            <v>QE65QN70FAUXTK</v>
          </cell>
          <cell r="U20" t="str">
            <v>%7</v>
          </cell>
          <cell r="V20">
            <v>3</v>
          </cell>
          <cell r="W20" t="str">
            <v>5k S Wallet veya Mon veya SS x2 değerli (8 Mart) ✦ Geo kodsuz 890 TL pahalanacaktır ✦ 2-4T arası 1.400; Max. 3.450 TL indirim (25 Şub)</v>
          </cell>
        </row>
        <row r="21">
          <cell r="A21" t="str">
            <v>QE65QN90FATXTK</v>
          </cell>
          <cell r="B21">
            <v>2025</v>
          </cell>
          <cell r="C21"/>
          <cell r="D21">
            <v>105089.07</v>
          </cell>
          <cell r="E21">
            <v>9.9999999999999992E-2</v>
          </cell>
          <cell r="F21"/>
          <cell r="G21"/>
          <cell r="H21">
            <v>4869.5999999999995</v>
          </cell>
          <cell r="I21"/>
          <cell r="J21">
            <v>0</v>
          </cell>
          <cell r="K21">
            <v>90197.523000000001</v>
          </cell>
          <cell r="L21"/>
          <cell r="M21">
            <v>4869.5999999999995</v>
          </cell>
          <cell r="N21">
            <v>90197.523000000001</v>
          </cell>
          <cell r="O21">
            <v>96500</v>
          </cell>
          <cell r="P21">
            <v>6.9874169382678097E-2</v>
          </cell>
          <cell r="Q21" t="str">
            <v>QE</v>
          </cell>
          <cell r="R21">
            <v>65</v>
          </cell>
          <cell r="S21" t="str">
            <v>Q</v>
          </cell>
          <cell r="U21" t="str">
            <v>%7</v>
          </cell>
          <cell r="V21">
            <v>5</v>
          </cell>
          <cell r="W21" t="str">
            <v>7,5k S Wallet veya Mon veya SS x2 değerli (8 Mart) ✦ Geo kodsuz 4.870 TL pahalanacaktır ✦ 2-4T arası 2.050; Max. 5.150 TL indirim (25 Şub)</v>
          </cell>
        </row>
        <row r="22">
          <cell r="A22" t="str">
            <v>QE65QN900FTXTK</v>
          </cell>
          <cell r="B22">
            <v>2025</v>
          </cell>
          <cell r="C22"/>
          <cell r="D22">
            <v>128711.07</v>
          </cell>
          <cell r="E22">
            <v>9.9999999999999992E-2</v>
          </cell>
          <cell r="F22"/>
          <cell r="G22"/>
          <cell r="H22">
            <v>0</v>
          </cell>
          <cell r="I22"/>
          <cell r="J22">
            <v>0</v>
          </cell>
          <cell r="K22">
            <v>115839.963</v>
          </cell>
          <cell r="L22"/>
          <cell r="M22">
            <v>0</v>
          </cell>
          <cell r="N22">
            <v>115839.963</v>
          </cell>
          <cell r="O22">
            <v>124000</v>
          </cell>
          <cell r="P22">
            <v>7.0442330856062219E-2</v>
          </cell>
          <cell r="Q22" t="str">
            <v>QE</v>
          </cell>
          <cell r="R22">
            <v>65</v>
          </cell>
          <cell r="S22" t="str">
            <v>Q</v>
          </cell>
          <cell r="U22" t="str">
            <v>%7</v>
          </cell>
          <cell r="V22" t="str">
            <v>0</v>
          </cell>
          <cell r="W22" t="str">
            <v>10k S Wallet veya Mon veya SS x2 değerli (8 Mart) ✦ Geo alınmayabilir ✦ 2-4T arası 2.700; Max. 6.750 TL indirim (25 Şub)</v>
          </cell>
        </row>
        <row r="23">
          <cell r="A23" t="str">
            <v>QE65Q7F5AUXTK</v>
          </cell>
          <cell r="B23">
            <v>2025</v>
          </cell>
          <cell r="C23"/>
          <cell r="D23">
            <v>52079.07</v>
          </cell>
          <cell r="E23">
            <v>9.9999999999999992E-2</v>
          </cell>
          <cell r="F23"/>
          <cell r="G23"/>
          <cell r="H23">
            <v>159.6</v>
          </cell>
          <cell r="I23"/>
          <cell r="J23">
            <v>0</v>
          </cell>
          <cell r="K23">
            <v>46727.523000000001</v>
          </cell>
          <cell r="L23"/>
          <cell r="M23">
            <v>159.6</v>
          </cell>
          <cell r="N23">
            <v>46727.523000000001</v>
          </cell>
          <cell r="O23">
            <v>50000</v>
          </cell>
          <cell r="P23">
            <v>7.0033179374819454E-2</v>
          </cell>
          <cell r="Q23" t="str">
            <v>QE</v>
          </cell>
          <cell r="R23">
            <v>65</v>
          </cell>
          <cell r="S23" t="str">
            <v>Q</v>
          </cell>
          <cell r="U23" t="str">
            <v>%7</v>
          </cell>
          <cell r="V23" t="str">
            <v>12+1</v>
          </cell>
          <cell r="W23" t="str">
            <v>Geo kodsuz 160 TL pahalanacaktır ✦ 2-4T arası 1.050; Max. 2.650 TL indirim (25 Şub)</v>
          </cell>
        </row>
        <row r="24">
          <cell r="A24" t="str">
            <v>QE65S95FATXTK</v>
          </cell>
          <cell r="B24">
            <v>2025</v>
          </cell>
          <cell r="C24"/>
          <cell r="D24">
            <v>160889.07</v>
          </cell>
          <cell r="E24">
            <v>9.9999999999999992E-2</v>
          </cell>
          <cell r="F24"/>
          <cell r="G24"/>
          <cell r="H24">
            <v>6399.5999999999995</v>
          </cell>
          <cell r="I24"/>
          <cell r="J24">
            <v>0</v>
          </cell>
          <cell r="K24">
            <v>139040.52300000002</v>
          </cell>
          <cell r="L24"/>
          <cell r="M24">
            <v>6399.5999999999995</v>
          </cell>
          <cell r="N24">
            <v>139040.52300000002</v>
          </cell>
          <cell r="O24">
            <v>149000</v>
          </cell>
          <cell r="P24">
            <v>7.1630031196013189E-2</v>
          </cell>
          <cell r="Q24" t="str">
            <v>QE</v>
          </cell>
          <cell r="R24">
            <v>65</v>
          </cell>
          <cell r="S24" t="str">
            <v>S</v>
          </cell>
          <cell r="U24" t="str">
            <v>%7</v>
          </cell>
          <cell r="V24">
            <v>4</v>
          </cell>
          <cell r="W24" t="str">
            <v>10k S Wallet veya Mon veya SS x2 değerli (8 Mart) ✦ Geo kodsuz 6.400 TL pahalanacaktır ✦ 2-4T arası 3.150; Max. 7.900 TL indirim (25 Şub)</v>
          </cell>
        </row>
        <row r="25">
          <cell r="A25" t="str">
            <v>QE65S90FATXTK</v>
          </cell>
          <cell r="B25">
            <v>2025</v>
          </cell>
          <cell r="C25"/>
          <cell r="D25">
            <v>114854.07</v>
          </cell>
          <cell r="E25">
            <v>9.9999999999999992E-2</v>
          </cell>
          <cell r="F25"/>
          <cell r="G25"/>
          <cell r="H25">
            <v>2900.4</v>
          </cell>
          <cell r="I25"/>
          <cell r="J25">
            <v>0</v>
          </cell>
          <cell r="K25">
            <v>100758.30300000001</v>
          </cell>
          <cell r="L25"/>
          <cell r="M25">
            <v>2900.4</v>
          </cell>
          <cell r="N25">
            <v>100758.30300000001</v>
          </cell>
          <cell r="O25">
            <v>108000</v>
          </cell>
          <cell r="P25">
            <v>7.1871962750305496E-2</v>
          </cell>
          <cell r="Q25" t="str">
            <v>QE</v>
          </cell>
          <cell r="R25">
            <v>65</v>
          </cell>
          <cell r="S25" t="str">
            <v>S</v>
          </cell>
          <cell r="U25" t="str">
            <v>%7</v>
          </cell>
          <cell r="V25">
            <v>1</v>
          </cell>
          <cell r="W25" t="str">
            <v>7,5k S Wallet veya Mon veya SS x2 değerli (8 Mart) ✦ Geo kodsuz 2.900 TL pahalanacaktır ✦ 2-4T arası 2.300; Max. 5.750 TL indirim (25 Şub)</v>
          </cell>
        </row>
        <row r="26">
          <cell r="A26" t="str">
            <v>QE65S85FAEXTK</v>
          </cell>
          <cell r="B26">
            <v>2025</v>
          </cell>
          <cell r="C26"/>
          <cell r="D26">
            <v>94022.07</v>
          </cell>
          <cell r="E26">
            <v>9.9999999999999992E-2</v>
          </cell>
          <cell r="F26"/>
          <cell r="G26"/>
          <cell r="H26">
            <v>2404.7999999999997</v>
          </cell>
          <cell r="I26"/>
          <cell r="J26">
            <v>0</v>
          </cell>
          <cell r="K26">
            <v>82455.543000000005</v>
          </cell>
          <cell r="L26"/>
          <cell r="M26">
            <v>2404.7999999999997</v>
          </cell>
          <cell r="N26">
            <v>82455.543000000005</v>
          </cell>
          <cell r="O26">
            <v>88000</v>
          </cell>
          <cell r="P26">
            <v>6.7241774152163369E-2</v>
          </cell>
          <cell r="Q26" t="str">
            <v>QE</v>
          </cell>
          <cell r="R26">
            <v>65</v>
          </cell>
          <cell r="S26" t="str">
            <v>S</v>
          </cell>
          <cell r="U26" t="str">
            <v>%7</v>
          </cell>
          <cell r="V26">
            <v>2</v>
          </cell>
          <cell r="W26" t="str">
            <v>5k S Wallet veya Mon veya SS x2 değerli (8 Mart) ✦ Geo kodsuz 2.405 TL pahalanacaktır ✦ 2-4T arası 1.850; Max. 4.700 TL indirim (25 Şub)</v>
          </cell>
        </row>
        <row r="27">
          <cell r="A27" t="str">
            <v>QE75LS03FWUXTK</v>
          </cell>
          <cell r="B27">
            <v>2025</v>
          </cell>
          <cell r="C27"/>
          <cell r="D27">
            <v>109739.07</v>
          </cell>
          <cell r="E27">
            <v>9.9999999999999992E-2</v>
          </cell>
          <cell r="F27"/>
          <cell r="G27"/>
          <cell r="H27">
            <v>1204.8</v>
          </cell>
          <cell r="I27"/>
          <cell r="J27">
            <v>0</v>
          </cell>
          <cell r="K27">
            <v>97680.843000000008</v>
          </cell>
          <cell r="L27"/>
          <cell r="M27">
            <v>1204.8</v>
          </cell>
          <cell r="N27">
            <v>97680.843000000008</v>
          </cell>
          <cell r="O27">
            <v>104500</v>
          </cell>
          <cell r="P27">
            <v>6.9810587117885348E-2</v>
          </cell>
          <cell r="Q27" t="str">
            <v>QE</v>
          </cell>
          <cell r="R27">
            <v>75</v>
          </cell>
          <cell r="S27" t="str">
            <v>L</v>
          </cell>
          <cell r="U27" t="str">
            <v>%7</v>
          </cell>
          <cell r="V27">
            <v>2</v>
          </cell>
          <cell r="W27" t="str">
            <v>7,5k S Wallet veya Mon veya SS x2 değerli (8 Mart) ✦ Geo kodsuz 1.205 TL pahalanacaktır ✦ 2-4T arası 2.200; Max. 5.550 TL indirim (25 Şub)</v>
          </cell>
        </row>
        <row r="28">
          <cell r="A28" t="str">
            <v>QE75QN70FAUXTK</v>
          </cell>
          <cell r="B28">
            <v>2025</v>
          </cell>
          <cell r="C28"/>
          <cell r="D28">
            <v>84629.07</v>
          </cell>
          <cell r="E28">
            <v>9.9999999999999992E-2</v>
          </cell>
          <cell r="F28"/>
          <cell r="G28"/>
          <cell r="H28">
            <v>540</v>
          </cell>
          <cell r="I28"/>
          <cell r="J28">
            <v>0</v>
          </cell>
          <cell r="K28">
            <v>75680.163</v>
          </cell>
          <cell r="L28"/>
          <cell r="M28">
            <v>540</v>
          </cell>
          <cell r="N28">
            <v>75680.163</v>
          </cell>
          <cell r="O28">
            <v>81000</v>
          </cell>
          <cell r="P28">
            <v>7.029367788227403E-2</v>
          </cell>
          <cell r="Q28" t="str">
            <v>QE</v>
          </cell>
          <cell r="R28">
            <v>75</v>
          </cell>
          <cell r="S28" t="str">
            <v>Q</v>
          </cell>
          <cell r="U28" t="str">
            <v>%7</v>
          </cell>
          <cell r="V28">
            <v>2</v>
          </cell>
          <cell r="W28" t="str">
            <v>5k S Wallet veya Mon veya SS x2 değerli (8 Mart) ✦ Geo kodsuz 540 TL pahalanacaktır ✦ 2-4T arası 1.700; Max. 4.300 TL indirim (25 Şub)</v>
          </cell>
        </row>
        <row r="29">
          <cell r="A29" t="str">
            <v>QE75QN90FATXTK</v>
          </cell>
          <cell r="B29">
            <v>2025</v>
          </cell>
          <cell r="C29"/>
          <cell r="D29">
            <v>130199.07</v>
          </cell>
          <cell r="E29">
            <v>9.9999999999999992E-2</v>
          </cell>
          <cell r="F29"/>
          <cell r="G29"/>
          <cell r="H29">
            <v>3090</v>
          </cell>
          <cell r="I29"/>
          <cell r="J29">
            <v>0</v>
          </cell>
          <cell r="K29">
            <v>114398.163</v>
          </cell>
          <cell r="L29"/>
          <cell r="M29">
            <v>3090</v>
          </cell>
          <cell r="N29">
            <v>114398.163</v>
          </cell>
          <cell r="O29">
            <v>122500</v>
          </cell>
          <cell r="P29">
            <v>7.0821390724604472E-2</v>
          </cell>
          <cell r="Q29" t="str">
            <v>QE</v>
          </cell>
          <cell r="R29">
            <v>75</v>
          </cell>
          <cell r="S29" t="str">
            <v>Q</v>
          </cell>
          <cell r="U29" t="str">
            <v>%7</v>
          </cell>
          <cell r="V29">
            <v>5</v>
          </cell>
          <cell r="W29" t="str">
            <v>7,5k S Wallet veya Mon veya SS x2 değerli (8 Mart) ✦ Geo kodsuz 3.090 TL pahalanacaktır ✦ 2-4T arası 2.600; Max. 6.500 TL indirim (25 Şub)</v>
          </cell>
        </row>
        <row r="30">
          <cell r="A30" t="str">
            <v>QE75QN990FTXTK</v>
          </cell>
          <cell r="B30">
            <v>2025</v>
          </cell>
          <cell r="C30"/>
          <cell r="D30">
            <v>257423.07</v>
          </cell>
          <cell r="E30">
            <v>9.9999999999999992E-2</v>
          </cell>
          <cell r="F30"/>
          <cell r="G30"/>
          <cell r="H30">
            <v>1245.5999999999999</v>
          </cell>
          <cell r="I30"/>
          <cell r="J30">
            <v>0</v>
          </cell>
          <cell r="K30">
            <v>230559.723</v>
          </cell>
          <cell r="L30"/>
          <cell r="M30">
            <v>1245.5999999999999</v>
          </cell>
          <cell r="N30">
            <v>230559.723</v>
          </cell>
          <cell r="O30">
            <v>246500</v>
          </cell>
          <cell r="P30">
            <v>6.91373011408416E-2</v>
          </cell>
          <cell r="Q30" t="str">
            <v>QE</v>
          </cell>
          <cell r="R30">
            <v>75</v>
          </cell>
          <cell r="S30" t="str">
            <v>Q</v>
          </cell>
          <cell r="U30" t="str">
            <v>%7</v>
          </cell>
          <cell r="V30" t="str">
            <v>0</v>
          </cell>
          <cell r="W30" t="str">
            <v>20k S Wallet veya Mon veya SS x2 değerli (8 Mart) ✦ Geo kodsuz 1.246 TL pahalanacaktır ✦ 2-4T arası 5.250; Max. 13.100 TL indirim (25 Şub)</v>
          </cell>
        </row>
        <row r="31">
          <cell r="A31" t="str">
            <v>QE75QN900FTXTK</v>
          </cell>
          <cell r="B31">
            <v>2025</v>
          </cell>
          <cell r="C31"/>
          <cell r="D31">
            <v>176420.07</v>
          </cell>
          <cell r="E31">
            <v>9.9999999999999992E-2</v>
          </cell>
          <cell r="F31"/>
          <cell r="G31"/>
          <cell r="H31">
            <v>0</v>
          </cell>
          <cell r="I31"/>
          <cell r="J31">
            <v>0</v>
          </cell>
          <cell r="K31">
            <v>158778.06300000002</v>
          </cell>
          <cell r="L31"/>
          <cell r="M31">
            <v>0</v>
          </cell>
          <cell r="N31">
            <v>158778.06300000002</v>
          </cell>
          <cell r="O31">
            <v>170000</v>
          </cell>
          <cell r="P31">
            <v>7.067687303881498E-2</v>
          </cell>
          <cell r="Q31" t="str">
            <v>QE</v>
          </cell>
          <cell r="R31">
            <v>75</v>
          </cell>
          <cell r="S31" t="str">
            <v>Q</v>
          </cell>
          <cell r="U31" t="str">
            <v>%7</v>
          </cell>
          <cell r="V31" t="str">
            <v>0</v>
          </cell>
          <cell r="W31" t="str">
            <v>15k S Wallet veya Mon veya SS x2 değerli (8 Mart) ✦ Geo alınmayabilir ✦ 2-4T arası 3.700; Max. 9.250 TL indirim (25 Şub)</v>
          </cell>
        </row>
        <row r="32">
          <cell r="A32" t="str">
            <v>QE75Q7F5AUXTK</v>
          </cell>
          <cell r="B32">
            <v>2025</v>
          </cell>
          <cell r="C32"/>
          <cell r="D32">
            <v>64913.07</v>
          </cell>
          <cell r="E32">
            <v>9.9999999999999992E-2</v>
          </cell>
          <cell r="F32"/>
          <cell r="G32"/>
          <cell r="H32">
            <v>380.4</v>
          </cell>
          <cell r="I32"/>
          <cell r="J32">
            <v>0</v>
          </cell>
          <cell r="K32">
            <v>58079.402999999998</v>
          </cell>
          <cell r="L32"/>
          <cell r="M32">
            <v>380.4</v>
          </cell>
          <cell r="N32">
            <v>58079.402999999998</v>
          </cell>
          <cell r="O32">
            <v>62000</v>
          </cell>
          <cell r="P32">
            <v>6.7504085742754683E-2</v>
          </cell>
          <cell r="Q32" t="str">
            <v>QE</v>
          </cell>
          <cell r="R32">
            <v>75</v>
          </cell>
          <cell r="S32" t="str">
            <v>Q</v>
          </cell>
          <cell r="T32" t="str">
            <v>QE75Q7F5AUXTK</v>
          </cell>
          <cell r="U32" t="str">
            <v>%7</v>
          </cell>
          <cell r="V32">
            <v>7</v>
          </cell>
          <cell r="W32" t="str">
            <v>Geo kodsuz 380 TL pahalanacaktır ✦ 2-4T arası 1.300; Max. 3.300 TL indirim (25 Şub)</v>
          </cell>
        </row>
        <row r="33">
          <cell r="A33" t="str">
            <v>QE77S95FATXTK</v>
          </cell>
          <cell r="B33">
            <v>2025</v>
          </cell>
          <cell r="C33"/>
          <cell r="D33">
            <v>239009.07</v>
          </cell>
          <cell r="E33">
            <v>9.9999999999999992E-2</v>
          </cell>
          <cell r="F33"/>
          <cell r="G33"/>
          <cell r="H33">
            <v>9230.4</v>
          </cell>
          <cell r="I33"/>
          <cell r="J33">
            <v>0</v>
          </cell>
          <cell r="K33">
            <v>206800.80300000001</v>
          </cell>
          <cell r="L33"/>
          <cell r="M33">
            <v>9230.4</v>
          </cell>
          <cell r="N33">
            <v>206800.80300000001</v>
          </cell>
          <cell r="O33">
            <v>221500</v>
          </cell>
          <cell r="P33">
            <v>7.1079013169982552E-2</v>
          </cell>
          <cell r="Q33" t="str">
            <v>QE</v>
          </cell>
          <cell r="R33">
            <v>77</v>
          </cell>
          <cell r="S33" t="str">
            <v>S</v>
          </cell>
          <cell r="U33" t="str">
            <v>%7</v>
          </cell>
          <cell r="V33">
            <v>3</v>
          </cell>
          <cell r="W33" t="str">
            <v>20k S Wallet veya Mon veya SS x2 değerli (8 Mart) ✦ Geo kodsuz 9.230 TL pahalanacaktır ✦ 2-4T arası 4.700; Max. 11.750 TL indirim (25 Şub)</v>
          </cell>
        </row>
        <row r="34">
          <cell r="A34" t="str">
            <v>QE77S90FAEXTK</v>
          </cell>
          <cell r="B34">
            <v>2025</v>
          </cell>
          <cell r="C34"/>
          <cell r="D34">
            <v>170189.07</v>
          </cell>
          <cell r="E34">
            <v>9.9999999999999992E-2</v>
          </cell>
          <cell r="F34"/>
          <cell r="G34"/>
          <cell r="H34">
            <v>4455.5999999999995</v>
          </cell>
          <cell r="I34"/>
          <cell r="J34">
            <v>0</v>
          </cell>
          <cell r="K34">
            <v>149160.12299999999</v>
          </cell>
          <cell r="L34"/>
          <cell r="M34">
            <v>4455.5999999999995</v>
          </cell>
          <cell r="N34">
            <v>149160.12299999999</v>
          </cell>
          <cell r="O34">
            <v>159500</v>
          </cell>
          <cell r="P34">
            <v>6.9320652142396133E-2</v>
          </cell>
          <cell r="Q34" t="str">
            <v>QE</v>
          </cell>
          <cell r="R34">
            <v>77</v>
          </cell>
          <cell r="S34" t="str">
            <v>S</v>
          </cell>
          <cell r="U34" t="str">
            <v>%7</v>
          </cell>
          <cell r="V34">
            <v>8</v>
          </cell>
          <cell r="W34" t="str">
            <v>15k S Wallet veya Mon veya SS x2 değerli (8 Mart) ✦ Geo kodsuz 4.456 TL pahalanacaktır ✦ 2-4T arası 3.400; Max. 8.450 TL indirim (25 Şub)</v>
          </cell>
        </row>
        <row r="35">
          <cell r="A35" t="str">
            <v>QE77S85FAEXTK</v>
          </cell>
          <cell r="B35">
            <v>2025</v>
          </cell>
          <cell r="C35"/>
          <cell r="D35">
            <v>139499.07</v>
          </cell>
          <cell r="E35">
            <v>9.9999999999999992E-2</v>
          </cell>
          <cell r="F35"/>
          <cell r="G35"/>
          <cell r="H35">
            <v>4080</v>
          </cell>
          <cell r="I35"/>
          <cell r="J35">
            <v>0</v>
          </cell>
          <cell r="K35">
            <v>121877.163</v>
          </cell>
          <cell r="L35"/>
          <cell r="M35">
            <v>4080</v>
          </cell>
          <cell r="N35">
            <v>121877.163</v>
          </cell>
          <cell r="O35">
            <v>130500</v>
          </cell>
          <cell r="P35">
            <v>7.0750227423655998E-2</v>
          </cell>
          <cell r="Q35" t="str">
            <v>QE</v>
          </cell>
          <cell r="R35">
            <v>77</v>
          </cell>
          <cell r="S35" t="str">
            <v>S</v>
          </cell>
          <cell r="U35" t="str">
            <v>%7</v>
          </cell>
          <cell r="V35">
            <v>3</v>
          </cell>
          <cell r="W35" t="str">
            <v>10k S Wallet veya Mon veya SS x2 değerli (8 Mart) ✦ Geo kodsuz 4.080 TL pahalanacaktır ✦ 2-4T arası 2.750; Max. 6.950 TL indirim (25 Şub)</v>
          </cell>
        </row>
        <row r="36">
          <cell r="A36" t="str">
            <v>QE83S95FAEXTK</v>
          </cell>
          <cell r="B36">
            <v>2025</v>
          </cell>
          <cell r="C36"/>
          <cell r="D36">
            <v>325499.07</v>
          </cell>
          <cell r="E36">
            <v>9.9999999999999992E-2</v>
          </cell>
          <cell r="F36"/>
          <cell r="G36"/>
          <cell r="H36">
            <v>14079.6</v>
          </cell>
          <cell r="I36"/>
          <cell r="J36">
            <v>0</v>
          </cell>
          <cell r="K36">
            <v>280277.52300000004</v>
          </cell>
          <cell r="L36"/>
          <cell r="M36">
            <v>14079.6</v>
          </cell>
          <cell r="N36">
            <v>280277.52300000004</v>
          </cell>
          <cell r="O36">
            <v>300000</v>
          </cell>
          <cell r="P36">
            <v>7.0367672687045912E-2</v>
          </cell>
          <cell r="Q36" t="str">
            <v>QE</v>
          </cell>
          <cell r="R36">
            <v>83</v>
          </cell>
          <cell r="S36" t="str">
            <v>S</v>
          </cell>
          <cell r="U36" t="str">
            <v>%7</v>
          </cell>
          <cell r="V36" t="str">
            <v>0</v>
          </cell>
          <cell r="W36" t="str">
            <v>25k S Wallet veya Mon veya SS x2 değerli (8 Mart) ✦ Geo kodsuz 14.080 TL pahalanacaktır ✦ 2-4T arası 6.350; Max. 15.950 TL indirim (25 Şub)</v>
          </cell>
        </row>
        <row r="37">
          <cell r="A37" t="str">
            <v>QE83S90FAEXTK</v>
          </cell>
          <cell r="B37">
            <v>2025</v>
          </cell>
          <cell r="C37"/>
          <cell r="D37">
            <v>229709.07</v>
          </cell>
          <cell r="E37">
            <v>9.9999999999999992E-2</v>
          </cell>
          <cell r="F37"/>
          <cell r="G37"/>
          <cell r="H37">
            <v>9710.4</v>
          </cell>
          <cell r="I37"/>
          <cell r="J37">
            <v>0</v>
          </cell>
          <cell r="K37">
            <v>197998.80300000001</v>
          </cell>
          <cell r="L37"/>
          <cell r="M37">
            <v>9710.4</v>
          </cell>
          <cell r="N37">
            <v>197998.80300000001</v>
          </cell>
          <cell r="O37">
            <v>212000</v>
          </cell>
          <cell r="P37">
            <v>7.0713543657130007E-2</v>
          </cell>
          <cell r="Q37" t="str">
            <v>QE</v>
          </cell>
          <cell r="R37">
            <v>83</v>
          </cell>
          <cell r="S37" t="str">
            <v>S</v>
          </cell>
          <cell r="U37" t="str">
            <v>%7</v>
          </cell>
          <cell r="V37">
            <v>1</v>
          </cell>
          <cell r="W37" t="str">
            <v>20k S Wallet veya Mon veya SS x2 değerli (8 Mart) ✦ Geo kodsuz 9.710 TL pahalanacaktır ✦ 2-4T arası 4.500; Max. 11.250 TL indirim (25 Şub)</v>
          </cell>
        </row>
        <row r="38">
          <cell r="A38" t="str">
            <v>QE83S85FAEXTK</v>
          </cell>
          <cell r="B38">
            <v>2025</v>
          </cell>
          <cell r="C38"/>
          <cell r="D38">
            <v>188324.07</v>
          </cell>
          <cell r="E38">
            <v>9.9999999999999992E-2</v>
          </cell>
          <cell r="F38"/>
          <cell r="G38"/>
          <cell r="H38">
            <v>9685.1999999999989</v>
          </cell>
          <cell r="I38"/>
          <cell r="J38">
            <v>0</v>
          </cell>
          <cell r="K38">
            <v>160774.98300000001</v>
          </cell>
          <cell r="L38"/>
          <cell r="M38">
            <v>9685.1999999999989</v>
          </cell>
          <cell r="N38">
            <v>160774.98300000001</v>
          </cell>
          <cell r="O38">
            <v>172000</v>
          </cell>
          <cell r="P38">
            <v>6.9818181849846672E-2</v>
          </cell>
          <cell r="Q38" t="str">
            <v>QE</v>
          </cell>
          <cell r="R38">
            <v>83</v>
          </cell>
          <cell r="S38" t="str">
            <v>S</v>
          </cell>
          <cell r="U38" t="str">
            <v>%7</v>
          </cell>
          <cell r="V38">
            <v>2</v>
          </cell>
          <cell r="W38" t="str">
            <v>15k S Wallet veya Mon veya SS x2 değerli (8 Mart) ✦ Geo kodsuz 9.685 TL pahalanacaktır ✦ 2-4T arası 3.650; Max. 9.150 TL indirim (25 Şub)</v>
          </cell>
        </row>
        <row r="39">
          <cell r="A39" t="str">
            <v>QE85QN70FAUXTK</v>
          </cell>
          <cell r="B39">
            <v>2025</v>
          </cell>
          <cell r="C39"/>
          <cell r="D39">
            <v>109739.07</v>
          </cell>
          <cell r="E39">
            <v>9.9999999999999992E-2</v>
          </cell>
          <cell r="F39"/>
          <cell r="G39"/>
          <cell r="H39">
            <v>230.39999999999998</v>
          </cell>
          <cell r="I39"/>
          <cell r="J39">
            <v>0</v>
          </cell>
          <cell r="K39">
            <v>98557.803000000014</v>
          </cell>
          <cell r="L39"/>
          <cell r="M39">
            <v>230.39999999999998</v>
          </cell>
          <cell r="N39">
            <v>98557.803000000014</v>
          </cell>
          <cell r="O39">
            <v>105500</v>
          </cell>
          <cell r="P39">
            <v>7.0437822158028185E-2</v>
          </cell>
          <cell r="Q39" t="str">
            <v>QE</v>
          </cell>
          <cell r="R39">
            <v>85</v>
          </cell>
          <cell r="S39" t="str">
            <v>Q</v>
          </cell>
          <cell r="U39" t="str">
            <v>%7</v>
          </cell>
          <cell r="V39">
            <v>3</v>
          </cell>
          <cell r="W39" t="str">
            <v>7,5k S Wallet veya Mon veya SS x2 değerli (8 Mart) ✦ Geo kodsuz 230 TL pahalanacaktır ✦ 2-4T arası 2.250; Max. 5.600 TL indirim (25 Şub)</v>
          </cell>
        </row>
        <row r="40">
          <cell r="A40" t="str">
            <v>QE85QN90FATXTK</v>
          </cell>
          <cell r="B40">
            <v>2025</v>
          </cell>
          <cell r="C40"/>
          <cell r="D40">
            <v>168794.07</v>
          </cell>
          <cell r="E40">
            <v>9.9999999999999992E-2</v>
          </cell>
          <cell r="F40"/>
          <cell r="G40"/>
          <cell r="H40">
            <v>7460.4</v>
          </cell>
          <cell r="I40"/>
          <cell r="J40">
            <v>0</v>
          </cell>
          <cell r="K40">
            <v>145200.30300000001</v>
          </cell>
          <cell r="L40"/>
          <cell r="M40">
            <v>7460.4</v>
          </cell>
          <cell r="N40">
            <v>145200.30300000001</v>
          </cell>
          <cell r="O40">
            <v>155500</v>
          </cell>
          <cell r="P40">
            <v>7.0934404317324118E-2</v>
          </cell>
          <cell r="Q40" t="str">
            <v>QE</v>
          </cell>
          <cell r="R40">
            <v>85</v>
          </cell>
          <cell r="S40" t="str">
            <v>Q</v>
          </cell>
          <cell r="U40" t="str">
            <v>%7</v>
          </cell>
          <cell r="V40">
            <v>3</v>
          </cell>
          <cell r="W40" t="str">
            <v>15k S Wallet veya Mon veya SS x2 değerli (8 Mart) ✦ Geo kodsuz 7.460 TL pahalanacaktır ✦ 2-4T arası 3.300; Max. 8.250 TL indirim (25 Şub)</v>
          </cell>
        </row>
        <row r="41">
          <cell r="A41" t="str">
            <v>QE85QN990FTXTK</v>
          </cell>
          <cell r="B41">
            <v>2025</v>
          </cell>
          <cell r="C41"/>
          <cell r="D41">
            <v>347912.07</v>
          </cell>
          <cell r="E41">
            <v>9.9999999999999992E-2</v>
          </cell>
          <cell r="F41"/>
          <cell r="G41"/>
          <cell r="H41">
            <v>10580.4</v>
          </cell>
          <cell r="I41"/>
          <cell r="J41">
            <v>0</v>
          </cell>
          <cell r="K41">
            <v>303598.50299999997</v>
          </cell>
          <cell r="L41"/>
          <cell r="M41">
            <v>10580.4</v>
          </cell>
          <cell r="N41">
            <v>303598.50299999997</v>
          </cell>
          <cell r="O41">
            <v>325000</v>
          </cell>
          <cell r="P41">
            <v>7.0492761948829585E-2</v>
          </cell>
          <cell r="Q41" t="str">
            <v>QE</v>
          </cell>
          <cell r="R41">
            <v>85</v>
          </cell>
          <cell r="S41" t="str">
            <v>Q</v>
          </cell>
          <cell r="U41" t="str">
            <v>%7</v>
          </cell>
          <cell r="V41" t="str">
            <v>0</v>
          </cell>
          <cell r="W41" t="str">
            <v>25k S Wallet veya Mon veya SS x2 değerli (8 Mart) ✦ Geo kodsuz 10.580 TL pahalanacaktır ✦ 2-4T arası 6.900; Max. 17.250 TL indirim (25 Şub)</v>
          </cell>
        </row>
        <row r="42">
          <cell r="A42" t="str">
            <v>QE85QN900FTXTK</v>
          </cell>
          <cell r="B42">
            <v>2025</v>
          </cell>
          <cell r="C42"/>
          <cell r="D42">
            <v>238358.07</v>
          </cell>
          <cell r="E42">
            <v>9.9999999999999992E-2</v>
          </cell>
          <cell r="F42"/>
          <cell r="G42"/>
          <cell r="H42">
            <v>0</v>
          </cell>
          <cell r="I42"/>
          <cell r="J42">
            <v>0</v>
          </cell>
          <cell r="K42">
            <v>214522.26300000001</v>
          </cell>
          <cell r="L42"/>
          <cell r="M42">
            <v>0</v>
          </cell>
          <cell r="N42">
            <v>214522.26300000001</v>
          </cell>
          <cell r="O42">
            <v>229500</v>
          </cell>
          <cell r="P42">
            <v>6.9819033188177837E-2</v>
          </cell>
          <cell r="Q42" t="str">
            <v>QE</v>
          </cell>
          <cell r="R42">
            <v>85</v>
          </cell>
          <cell r="S42" t="str">
            <v>Q</v>
          </cell>
          <cell r="U42" t="str">
            <v>%7</v>
          </cell>
          <cell r="V42" t="str">
            <v>0</v>
          </cell>
          <cell r="W42" t="str">
            <v>20k S Wallet veya Mon veya SS x2 değerli (8 Mart) ✦ Geo alınmayabilir ✦ 2-4T arası 4.900; Max. 12.250 TL indirim (25 Şub)</v>
          </cell>
        </row>
        <row r="43">
          <cell r="A43" t="str">
            <v>QE98QN90FATXTK</v>
          </cell>
          <cell r="B43">
            <v>2025</v>
          </cell>
          <cell r="C43"/>
          <cell r="D43">
            <v>260027.07</v>
          </cell>
          <cell r="E43">
            <v>9.9999999999999992E-2</v>
          </cell>
          <cell r="F43"/>
          <cell r="G43"/>
          <cell r="H43">
            <v>5805.5999999999995</v>
          </cell>
          <cell r="I43"/>
          <cell r="J43">
            <v>0</v>
          </cell>
          <cell r="K43">
            <v>228799.323</v>
          </cell>
          <cell r="L43"/>
          <cell r="M43">
            <v>5805.5999999999995</v>
          </cell>
          <cell r="N43">
            <v>228799.323</v>
          </cell>
          <cell r="O43">
            <v>245000</v>
          </cell>
          <cell r="P43">
            <v>7.0807364233328673E-2</v>
          </cell>
          <cell r="Q43" t="str">
            <v>QE</v>
          </cell>
          <cell r="R43">
            <v>98</v>
          </cell>
          <cell r="S43" t="str">
            <v>Q</v>
          </cell>
          <cell r="U43" t="str">
            <v>%7</v>
          </cell>
          <cell r="V43">
            <v>0</v>
          </cell>
          <cell r="W43" t="str">
            <v>20k S Wallet veya Mon veya SS x2 değerli (8 Mart) ✦ Geo kodsuz 5.806 TL pahalanacaktır ✦ 2-4T arası 5.200; Max. 13.000 TL indirim (25 Şub)</v>
          </cell>
        </row>
        <row r="44">
          <cell r="A44" t="str">
            <v>UE32H5000FUXTK</v>
          </cell>
          <cell r="B44">
            <v>2025</v>
          </cell>
          <cell r="C44"/>
          <cell r="D44">
            <v>12799</v>
          </cell>
          <cell r="E44">
            <v>0</v>
          </cell>
          <cell r="F44"/>
          <cell r="G44"/>
          <cell r="H44">
            <v>39.6</v>
          </cell>
          <cell r="I44"/>
          <cell r="J44">
            <v>0</v>
          </cell>
          <cell r="K44">
            <v>12759.4</v>
          </cell>
          <cell r="L44"/>
          <cell r="M44">
            <v>39.6</v>
          </cell>
          <cell r="N44">
            <v>12759.4</v>
          </cell>
          <cell r="O44">
            <v>13500</v>
          </cell>
          <cell r="P44">
            <v>5.8043481668416996E-2</v>
          </cell>
          <cell r="Q44" t="str">
            <v>UE</v>
          </cell>
          <cell r="R44">
            <v>32</v>
          </cell>
          <cell r="S44" t="str">
            <v>H</v>
          </cell>
          <cell r="U44" t="str">
            <v>%7</v>
          </cell>
          <cell r="V44">
            <v>0</v>
          </cell>
          <cell r="W44" t="str">
            <v>Geo kodsuz 40 TL pahalanacaktır</v>
          </cell>
        </row>
        <row r="45">
          <cell r="A45" t="str">
            <v>UE43U8000FUXTK</v>
          </cell>
          <cell r="B45">
            <v>2025</v>
          </cell>
          <cell r="C45"/>
          <cell r="D45">
            <v>20999</v>
          </cell>
          <cell r="E45">
            <v>0</v>
          </cell>
          <cell r="F45"/>
          <cell r="G45"/>
          <cell r="H45">
            <v>55.199999999999996</v>
          </cell>
          <cell r="I45"/>
          <cell r="J45">
            <v>0</v>
          </cell>
          <cell r="K45">
            <v>20943.8</v>
          </cell>
          <cell r="L45"/>
          <cell r="M45">
            <v>55.199999999999996</v>
          </cell>
          <cell r="N45">
            <v>20943.8</v>
          </cell>
          <cell r="O45">
            <v>22500</v>
          </cell>
          <cell r="P45">
            <v>7.430361252494766E-2</v>
          </cell>
          <cell r="Q45" t="str">
            <v>UE</v>
          </cell>
          <cell r="R45">
            <v>43</v>
          </cell>
          <cell r="S45" t="str">
            <v>U</v>
          </cell>
          <cell r="U45" t="str">
            <v>%7</v>
          </cell>
          <cell r="V45">
            <v>0</v>
          </cell>
          <cell r="W45" t="str">
            <v>Geo kodsuz 55 TL pahalanacaktır</v>
          </cell>
        </row>
        <row r="46">
          <cell r="A46" t="str">
            <v>UE50U8000FUXTK</v>
          </cell>
          <cell r="B46">
            <v>2025</v>
          </cell>
          <cell r="C46"/>
          <cell r="D46">
            <v>25199</v>
          </cell>
          <cell r="E46">
            <v>0</v>
          </cell>
          <cell r="F46"/>
          <cell r="G46"/>
          <cell r="H46">
            <v>30</v>
          </cell>
          <cell r="I46"/>
          <cell r="J46">
            <v>0</v>
          </cell>
          <cell r="K46">
            <v>25169</v>
          </cell>
          <cell r="L46"/>
          <cell r="M46">
            <v>30</v>
          </cell>
          <cell r="N46">
            <v>25169</v>
          </cell>
          <cell r="O46">
            <v>27000</v>
          </cell>
          <cell r="P46">
            <v>7.2748222019150433E-2</v>
          </cell>
          <cell r="Q46" t="str">
            <v>UE</v>
          </cell>
          <cell r="R46">
            <v>50</v>
          </cell>
          <cell r="S46" t="str">
            <v>U</v>
          </cell>
          <cell r="T46" t="str">
            <v>UE50U8000FUXTK</v>
          </cell>
          <cell r="U46" t="str">
            <v>%7</v>
          </cell>
          <cell r="V46">
            <v>3</v>
          </cell>
          <cell r="W46" t="str">
            <v>Geo kodsuz 30 TL pahalanacaktır</v>
          </cell>
        </row>
        <row r="47">
          <cell r="A47" t="str">
            <v>UE55U8000FUXTK</v>
          </cell>
          <cell r="B47">
            <v>2025</v>
          </cell>
          <cell r="C47"/>
          <cell r="D47">
            <v>29399</v>
          </cell>
          <cell r="E47">
            <v>0</v>
          </cell>
          <cell r="F47"/>
          <cell r="G47"/>
          <cell r="H47">
            <v>975.59999999999991</v>
          </cell>
          <cell r="I47"/>
          <cell r="J47">
            <v>0</v>
          </cell>
          <cell r="K47">
            <v>28423.4</v>
          </cell>
          <cell r="L47"/>
          <cell r="M47">
            <v>975.59999999999991</v>
          </cell>
          <cell r="N47">
            <v>28423.4</v>
          </cell>
          <cell r="O47">
            <v>30500</v>
          </cell>
          <cell r="P47">
            <v>7.3059521380271164E-2</v>
          </cell>
          <cell r="Q47" t="str">
            <v>UE</v>
          </cell>
          <cell r="R47">
            <v>55</v>
          </cell>
          <cell r="S47" t="str">
            <v>U</v>
          </cell>
          <cell r="T47" t="str">
            <v>UE55U8000FUXTK</v>
          </cell>
          <cell r="U47" t="str">
            <v>%7</v>
          </cell>
          <cell r="V47">
            <v>4</v>
          </cell>
          <cell r="W47" t="str">
            <v>Geo kodsuz 976 TL pahalanacaktır</v>
          </cell>
        </row>
        <row r="48">
          <cell r="A48" t="str">
            <v>UE65U8000FUXTK</v>
          </cell>
          <cell r="B48">
            <v>2025</v>
          </cell>
          <cell r="C48"/>
          <cell r="D48">
            <v>36699</v>
          </cell>
          <cell r="E48">
            <v>0</v>
          </cell>
          <cell r="F48"/>
          <cell r="G48"/>
          <cell r="H48">
            <v>90</v>
          </cell>
          <cell r="I48"/>
          <cell r="J48">
            <v>0</v>
          </cell>
          <cell r="K48">
            <v>36609</v>
          </cell>
          <cell r="L48"/>
          <cell r="M48">
            <v>90</v>
          </cell>
          <cell r="N48">
            <v>36609</v>
          </cell>
          <cell r="O48">
            <v>39000</v>
          </cell>
          <cell r="P48">
            <v>6.5311808571662633E-2</v>
          </cell>
          <cell r="Q48" t="str">
            <v>UE</v>
          </cell>
          <cell r="R48">
            <v>65</v>
          </cell>
          <cell r="S48" t="str">
            <v>U</v>
          </cell>
          <cell r="U48" t="str">
            <v>%7</v>
          </cell>
          <cell r="V48">
            <v>1</v>
          </cell>
          <cell r="W48" t="str">
            <v>Geo kodsuz 90 TL pahalanacaktır ✦ 2-4T arası 850; Max. 2.100 TL indirim (25 Şub)</v>
          </cell>
        </row>
        <row r="49">
          <cell r="A49" t="str">
            <v>UE75U8000FUXTK</v>
          </cell>
          <cell r="B49">
            <v>2025</v>
          </cell>
          <cell r="C49"/>
          <cell r="D49">
            <v>45699</v>
          </cell>
          <cell r="E49">
            <v>0</v>
          </cell>
          <cell r="F49"/>
          <cell r="G49"/>
          <cell r="H49">
            <v>115.19999999999999</v>
          </cell>
          <cell r="I49"/>
          <cell r="J49">
            <v>0</v>
          </cell>
          <cell r="K49">
            <v>45583.8</v>
          </cell>
          <cell r="L49"/>
          <cell r="M49">
            <v>115.19999999999999</v>
          </cell>
          <cell r="N49">
            <v>45583.8</v>
          </cell>
          <cell r="O49">
            <v>49000</v>
          </cell>
          <cell r="P49">
            <v>7.4943291256981626E-2</v>
          </cell>
          <cell r="Q49" t="str">
            <v>UE</v>
          </cell>
          <cell r="R49">
            <v>75</v>
          </cell>
          <cell r="S49" t="str">
            <v>U</v>
          </cell>
          <cell r="T49" t="str">
            <v>UE75U8000FUXTK</v>
          </cell>
          <cell r="U49" t="str">
            <v>%7</v>
          </cell>
          <cell r="V49" t="str">
            <v>8+1</v>
          </cell>
          <cell r="W49" t="str">
            <v>Geo kodsuz 115 TL pahalanacaktır ✦ 2-4T arası 1.050; Max. 2.600 TL indirim (25 Şub)</v>
          </cell>
        </row>
        <row r="50">
          <cell r="A50" t="str">
            <v>UE85U8000FUXTK</v>
          </cell>
          <cell r="B50">
            <v>2025</v>
          </cell>
          <cell r="C50"/>
          <cell r="D50">
            <v>59199</v>
          </cell>
          <cell r="E50">
            <v>0</v>
          </cell>
          <cell r="F50"/>
          <cell r="G50"/>
          <cell r="H50">
            <v>64.8</v>
          </cell>
          <cell r="I50"/>
          <cell r="J50">
            <v>0</v>
          </cell>
          <cell r="K50">
            <v>59134.2</v>
          </cell>
          <cell r="L50"/>
          <cell r="M50">
            <v>64.8</v>
          </cell>
          <cell r="N50">
            <v>59134.2</v>
          </cell>
          <cell r="O50">
            <v>63500</v>
          </cell>
          <cell r="P50">
            <v>7.3828681203093938E-2</v>
          </cell>
          <cell r="Q50" t="str">
            <v>UE</v>
          </cell>
          <cell r="R50">
            <v>85</v>
          </cell>
          <cell r="S50" t="str">
            <v>U</v>
          </cell>
          <cell r="U50" t="str">
            <v>%7</v>
          </cell>
          <cell r="V50">
            <v>4</v>
          </cell>
          <cell r="W50" t="str">
            <v>Geo kodsuz 65 TL pahalanacaktır ✦ 2-4T arası 1.350; Max. 3.350 TL indirim (25 Şub)</v>
          </cell>
        </row>
        <row r="51">
          <cell r="A51" t="str">
            <v>UE98DU9000UXTK</v>
          </cell>
          <cell r="B51">
            <v>2024</v>
          </cell>
          <cell r="C51">
            <v>120899.064</v>
          </cell>
          <cell r="D51">
            <v>120899.064</v>
          </cell>
          <cell r="E51">
            <v>0.08</v>
          </cell>
          <cell r="F51"/>
          <cell r="G51">
            <v>635</v>
          </cell>
          <cell r="H51"/>
          <cell r="I51"/>
          <cell r="J51">
            <v>110642.93888</v>
          </cell>
          <cell r="K51"/>
          <cell r="L51"/>
          <cell r="M51">
            <v>635</v>
          </cell>
          <cell r="N51">
            <v>110642.93888</v>
          </cell>
          <cell r="O51">
            <v>117500</v>
          </cell>
          <cell r="P51">
            <v>6.1974683512672879E-2</v>
          </cell>
          <cell r="Q51" t="str">
            <v>UE</v>
          </cell>
          <cell r="R51">
            <v>98</v>
          </cell>
          <cell r="S51" t="str">
            <v>D</v>
          </cell>
          <cell r="T51"/>
          <cell r="U51" t="str">
            <v>%6</v>
          </cell>
          <cell r="V51">
            <v>2</v>
          </cell>
          <cell r="W51" t="str">
            <v>7,5k S Wallet veya Mon veya SS x2 değerli (8 Mart) ✦ Geo kodsuz 635 TL pahalanacaktır ✦ 2-4T arası 2.450; Max. 6.150 TL indirim (25 Şub)</v>
          </cell>
        </row>
        <row r="52">
          <cell r="A52" t="str">
            <v>SP-LFF3CLAXXTK</v>
          </cell>
          <cell r="B52">
            <v>2024</v>
          </cell>
          <cell r="C52">
            <v>27899.075999999997</v>
          </cell>
          <cell r="D52">
            <v>27899.070000000003</v>
          </cell>
          <cell r="E52">
            <v>9.9999999999999992E-2</v>
          </cell>
          <cell r="F52"/>
          <cell r="G52">
            <v>3455</v>
          </cell>
          <cell r="H52"/>
          <cell r="I52"/>
          <cell r="J52">
            <v>21999.668399999999</v>
          </cell>
          <cell r="K52"/>
          <cell r="L52"/>
          <cell r="M52">
            <v>3455</v>
          </cell>
          <cell r="N52">
            <v>21999.668399999999</v>
          </cell>
          <cell r="O52">
            <v>23500</v>
          </cell>
          <cell r="P52">
            <v>6.8197918837722193E-2</v>
          </cell>
          <cell r="Q52" t="str">
            <v>SP</v>
          </cell>
          <cell r="R52" t="str">
            <v>FF</v>
          </cell>
          <cell r="S52" t="str">
            <v>F</v>
          </cell>
          <cell r="U52" t="str">
            <v>%6</v>
          </cell>
          <cell r="V52">
            <v>1</v>
          </cell>
          <cell r="W52" t="str">
            <v>Geo kodsuz 3.455 TL pahalanacaktır ✦ VG-FBB3BA/ZN Hediye edilmelidir.</v>
          </cell>
        </row>
        <row r="53">
          <cell r="A53" t="str">
            <v>HW-B650D/TK</v>
          </cell>
          <cell r="B53">
            <v>2024</v>
          </cell>
          <cell r="C53">
            <v>9239.1239999999998</v>
          </cell>
          <cell r="D53">
            <v>9239.1239999999998</v>
          </cell>
          <cell r="E53">
            <v>0.13500000000000001</v>
          </cell>
          <cell r="F53"/>
          <cell r="G53">
            <v>2200</v>
          </cell>
          <cell r="H53"/>
          <cell r="I53"/>
          <cell r="J53">
            <v>6088.8422599999994</v>
          </cell>
          <cell r="K53"/>
          <cell r="L53"/>
          <cell r="M53">
            <v>2200</v>
          </cell>
          <cell r="N53">
            <v>6088.8422599999994</v>
          </cell>
          <cell r="O53">
            <v>6500</v>
          </cell>
          <cell r="P53">
            <v>6.7526423323700957E-2</v>
          </cell>
          <cell r="Q53" t="str">
            <v>HW</v>
          </cell>
          <cell r="R53">
            <v>65</v>
          </cell>
          <cell r="S53" t="str">
            <v>B</v>
          </cell>
          <cell r="T53"/>
          <cell r="U53" t="str">
            <v>%6</v>
          </cell>
          <cell r="V53">
            <v>2</v>
          </cell>
          <cell r="W53" t="str">
            <v>Geo kodsuz 2.200 TL pahalanacaktır</v>
          </cell>
        </row>
        <row r="54">
          <cell r="A54" t="str">
            <v>HW-B400F/TK</v>
          </cell>
          <cell r="B54">
            <v>2025</v>
          </cell>
          <cell r="C54"/>
          <cell r="D54">
            <v>3863.0879999999997</v>
          </cell>
          <cell r="E54">
            <v>0.13500000000000001</v>
          </cell>
          <cell r="F54"/>
          <cell r="G54"/>
          <cell r="H54">
            <v>345.6</v>
          </cell>
          <cell r="I54"/>
          <cell r="J54">
            <v>0</v>
          </cell>
          <cell r="K54">
            <v>3042.6271199999996</v>
          </cell>
          <cell r="L54"/>
          <cell r="M54">
            <v>345.6</v>
          </cell>
          <cell r="N54">
            <v>3042.6271199999996</v>
          </cell>
          <cell r="O54">
            <v>3500</v>
          </cell>
          <cell r="P54">
            <v>0.15032169962384367</v>
          </cell>
          <cell r="Q54" t="str">
            <v>HW</v>
          </cell>
          <cell r="R54">
            <v>40</v>
          </cell>
          <cell r="S54" t="str">
            <v>B</v>
          </cell>
          <cell r="U54" t="str">
            <v>%7</v>
          </cell>
          <cell r="V54">
            <v>1</v>
          </cell>
          <cell r="W54" t="str">
            <v>Geo kodsuz 346 TL pahalanacaktır</v>
          </cell>
        </row>
        <row r="55">
          <cell r="A55" t="str">
            <v>HW-B450F/TK</v>
          </cell>
          <cell r="B55">
            <v>2025</v>
          </cell>
          <cell r="C55"/>
          <cell r="D55">
            <v>7359.0720000000001</v>
          </cell>
          <cell r="E55">
            <v>0.13500000000000001</v>
          </cell>
          <cell r="F55"/>
          <cell r="G55"/>
          <cell r="H55">
            <v>825.6</v>
          </cell>
          <cell r="I55"/>
          <cell r="J55">
            <v>0</v>
          </cell>
          <cell r="K55">
            <v>5651.4532799999997</v>
          </cell>
          <cell r="L55"/>
          <cell r="M55">
            <v>825.6</v>
          </cell>
          <cell r="N55">
            <v>5651.4532799999997</v>
          </cell>
          <cell r="O55">
            <v>6000</v>
          </cell>
          <cell r="P55">
            <v>6.167382135732713E-2</v>
          </cell>
          <cell r="Q55" t="str">
            <v>HW</v>
          </cell>
          <cell r="R55">
            <v>45</v>
          </cell>
          <cell r="S55" t="str">
            <v>B</v>
          </cell>
          <cell r="U55" t="str">
            <v>%7</v>
          </cell>
          <cell r="V55">
            <v>4</v>
          </cell>
          <cell r="W55" t="str">
            <v>Geo kodsuz 826 TL pahalanacaktır</v>
          </cell>
        </row>
        <row r="56">
          <cell r="A56" t="str">
            <v>HW-B650F/TK</v>
          </cell>
          <cell r="B56">
            <v>2025</v>
          </cell>
          <cell r="C56"/>
          <cell r="D56">
            <v>10211.088</v>
          </cell>
          <cell r="E56">
            <v>0.13500000000000001</v>
          </cell>
          <cell r="F56"/>
          <cell r="G56"/>
          <cell r="H56">
            <v>1719.6</v>
          </cell>
          <cell r="I56"/>
          <cell r="J56">
            <v>0</v>
          </cell>
          <cell r="K56">
            <v>7345.1371199999994</v>
          </cell>
          <cell r="L56"/>
          <cell r="M56">
            <v>1719.6</v>
          </cell>
          <cell r="N56">
            <v>7345.1371199999994</v>
          </cell>
          <cell r="O56">
            <v>8000</v>
          </cell>
          <cell r="P56">
            <v>8.9155977526529817E-2</v>
          </cell>
          <cell r="Q56" t="str">
            <v>HW</v>
          </cell>
          <cell r="R56">
            <v>65</v>
          </cell>
          <cell r="S56" t="str">
            <v>B</v>
          </cell>
          <cell r="U56" t="str">
            <v>%7</v>
          </cell>
          <cell r="V56">
            <v>4</v>
          </cell>
          <cell r="W56" t="str">
            <v>Geo kodsuz 1.720 TL pahalanacaktır</v>
          </cell>
        </row>
        <row r="57">
          <cell r="A57" t="str">
            <v>HW-Q600F/TK</v>
          </cell>
          <cell r="B57">
            <v>2025</v>
          </cell>
          <cell r="C57"/>
          <cell r="D57">
            <v>13111.116</v>
          </cell>
          <cell r="E57">
            <v>0.13500000000000001</v>
          </cell>
          <cell r="F57"/>
          <cell r="G57"/>
          <cell r="H57">
            <v>34.799999999999997</v>
          </cell>
          <cell r="I57"/>
          <cell r="J57">
            <v>0</v>
          </cell>
          <cell r="K57">
            <v>11311.013340000001</v>
          </cell>
          <cell r="L57"/>
          <cell r="M57">
            <v>34.799999999999997</v>
          </cell>
          <cell r="N57">
            <v>11311.013340000001</v>
          </cell>
          <cell r="O57">
            <v>12000</v>
          </cell>
          <cell r="P57">
            <v>6.0912903140471375E-2</v>
          </cell>
          <cell r="Q57" t="str">
            <v>HW</v>
          </cell>
          <cell r="R57">
            <v>60</v>
          </cell>
          <cell r="S57" t="str">
            <v>Q</v>
          </cell>
          <cell r="U57" t="str">
            <v>%7</v>
          </cell>
          <cell r="V57">
            <v>0</v>
          </cell>
          <cell r="W57" t="str">
            <v>S Wallet x2 Kamp Ürünü ✦ Geo kodsuz 35 TL pahalanacaktır</v>
          </cell>
        </row>
        <row r="58">
          <cell r="A58" t="str">
            <v>HW-QS700F/TK</v>
          </cell>
          <cell r="B58">
            <v>2025</v>
          </cell>
          <cell r="C58"/>
          <cell r="D58">
            <v>21119.124</v>
          </cell>
          <cell r="E58">
            <v>0.13500000000000001</v>
          </cell>
          <cell r="F58"/>
          <cell r="G58"/>
          <cell r="H58">
            <v>4020</v>
          </cell>
          <cell r="I58"/>
          <cell r="J58">
            <v>0</v>
          </cell>
          <cell r="K58">
            <v>14790.742259999999</v>
          </cell>
          <cell r="L58"/>
          <cell r="M58">
            <v>4020</v>
          </cell>
          <cell r="N58">
            <v>14790.742259999999</v>
          </cell>
          <cell r="O58">
            <v>16000</v>
          </cell>
          <cell r="P58">
            <v>8.175774540202152E-2</v>
          </cell>
          <cell r="Q58" t="str">
            <v>HW</v>
          </cell>
          <cell r="R58" t="e">
            <v>#VALUE!</v>
          </cell>
          <cell r="S58" t="str">
            <v>Q</v>
          </cell>
          <cell r="U58" t="str">
            <v>%7</v>
          </cell>
          <cell r="V58">
            <v>2</v>
          </cell>
          <cell r="W58" t="str">
            <v>S Wallet x2 Kamp Ürünü ✦ Geo kodsuz 4.020 TL pahalanacaktır</v>
          </cell>
        </row>
        <row r="59">
          <cell r="A59" t="str">
            <v>HW-Q800F/TK</v>
          </cell>
          <cell r="B59">
            <v>2025</v>
          </cell>
          <cell r="C59"/>
          <cell r="D59">
            <v>24639.119999999999</v>
          </cell>
          <cell r="E59">
            <v>0.13500000000000001</v>
          </cell>
          <cell r="F59"/>
          <cell r="G59"/>
          <cell r="H59">
            <v>2515.1999999999998</v>
          </cell>
          <cell r="I59"/>
          <cell r="J59">
            <v>0</v>
          </cell>
          <cell r="K59">
            <v>19137.190799999997</v>
          </cell>
          <cell r="L59"/>
          <cell r="M59">
            <v>2515.1999999999998</v>
          </cell>
          <cell r="N59">
            <v>19137.190799999997</v>
          </cell>
          <cell r="O59">
            <v>20500</v>
          </cell>
          <cell r="P59">
            <v>7.1212604516646349E-2</v>
          </cell>
          <cell r="Q59" t="str">
            <v>HW</v>
          </cell>
          <cell r="R59">
            <v>80</v>
          </cell>
          <cell r="S59" t="str">
            <v>Q</v>
          </cell>
          <cell r="U59" t="str">
            <v>%7</v>
          </cell>
          <cell r="V59">
            <v>1</v>
          </cell>
          <cell r="W59" t="str">
            <v>S Wallet x2 Kamp Ürünü ✦ Geo kodsuz 2.515 TL pahalanacaktır</v>
          </cell>
        </row>
        <row r="60">
          <cell r="A60" t="str">
            <v>HW-Q990F/TK</v>
          </cell>
          <cell r="B60">
            <v>2025</v>
          </cell>
          <cell r="C60"/>
          <cell r="D60">
            <v>48399.119999999995</v>
          </cell>
          <cell r="E60">
            <v>0.13500000000000001</v>
          </cell>
          <cell r="F60"/>
          <cell r="G60"/>
          <cell r="H60">
            <v>3140.4</v>
          </cell>
          <cell r="I60"/>
          <cell r="J60">
            <v>0</v>
          </cell>
          <cell r="K60">
            <v>39148.792799999996</v>
          </cell>
          <cell r="L60"/>
          <cell r="M60">
            <v>3140.4</v>
          </cell>
          <cell r="N60">
            <v>39148.792799999996</v>
          </cell>
          <cell r="O60">
            <v>42000</v>
          </cell>
          <cell r="P60">
            <v>7.2830015846619078E-2</v>
          </cell>
          <cell r="Q60" t="str">
            <v>HW</v>
          </cell>
          <cell r="R60">
            <v>99</v>
          </cell>
          <cell r="S60" t="str">
            <v>Q</v>
          </cell>
          <cell r="U60" t="str">
            <v>%7</v>
          </cell>
          <cell r="V60" t="str">
            <v>0</v>
          </cell>
          <cell r="W60" t="str">
            <v>S Wallet x2 Kamp Ürünü ✦ Geo kodsuz 3.140 TL pahalanacaktır</v>
          </cell>
        </row>
        <row r="61">
          <cell r="C61"/>
          <cell r="D61"/>
          <cell r="E61"/>
          <cell r="F61"/>
          <cell r="G61"/>
          <cell r="H61"/>
          <cell r="J61">
            <v>0</v>
          </cell>
          <cell r="K61"/>
          <cell r="T61"/>
          <cell r="V61"/>
        </row>
        <row r="62">
          <cell r="C62"/>
          <cell r="D62"/>
          <cell r="G62"/>
          <cell r="H62"/>
          <cell r="J62">
            <v>0</v>
          </cell>
          <cell r="T62"/>
          <cell r="V62"/>
        </row>
        <row r="63">
          <cell r="G63"/>
        </row>
      </sheetData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B45EE-FE0B-45C7-B17C-E96E4972E78D}" name="tblUrunler" displayName="tblUrunler" ref="A1:I60" totalsRowShown="0" headerRowDxfId="19" dataDxfId="17" headerRowBorderDxfId="18">
  <autoFilter ref="A1:I60" xr:uid="{AE9B45EE-FE0B-45C7-B17C-E96E4972E78D}"/>
  <tableColumns count="9">
    <tableColumn id="1" xr3:uid="{A4932342-430A-494F-95C0-3DF49F98A304}" name="Kod" dataDxfId="16"/>
    <tableColumn id="2" xr3:uid="{63C0F808-8D34-4A2C-9D6D-E34F9F6324E8}" name="Ticari Kod" dataDxfId="15"/>
    <tableColumn id="3" xr3:uid="{9CD23378-A81B-4501-ADEF-95BF9B727AD6}" name="Stok" dataDxfId="14">
      <calculatedColumnFormula>IFERROR(VLOOKUP(A:A,'0'!C:G,5,0),"0")</calculatedColumnFormula>
    </tableColumn>
    <tableColumn id="4" xr3:uid="{8623F205-FAA2-4C42-B5AB-21B2426F6F09}" name="Diğer Kartlar" dataDxfId="13">
      <calculatedColumnFormula>IFERROR(IF(G2&lt;=1500,MROUND(G2/(1-0.1),50),IF(G2&lt;=3500,MROUND(G2/(1-0.1),100),IF(G2&lt;=5000,MROUND(G2/(1-0.1),250),MROUND(G2/(1-0.1),250)))),"")</calculatedColumnFormula>
    </tableColumn>
    <tableColumn id="5" xr3:uid="{9C0EA53C-D027-4E9B-AB9E-DAFD49485DD4}" name="4T A•M•W" dataDxfId="12">
      <calculatedColumnFormula>IFERROR(IF(G2&lt;=1500,MROUND(G2/(1-0.067),50),IF(G2&lt;=3500,MROUND(G2/(1-0.067),100),IF(G2&lt;=5000,MROUND(G2/(1-0.067),250),MROUND(G2/(1-0.067),250)))),"")</calculatedColumnFormula>
    </tableColumn>
    <tableColumn id="6" xr3:uid="{EE113EA4-F9C9-4615-8040-C1571ECBBCD7}" name="Tek Çekim" dataDxfId="11">
      <calculatedColumnFormula>IFERROR(IF(G2&lt;=1500,MROUND(G2/(1-0.03),50),IF(G2&lt;=3500,MROUND(G2/(1-0.03),100),IF(G2&lt;=5000,MROUND(G2/(1-0.03),250),MROUND(G2/(1-0.03),250)))),"")</calculatedColumnFormula>
    </tableColumn>
    <tableColumn id="7" xr3:uid="{7BEDC68A-2C27-4C54-A68E-E9372914D06D}" name="Nakit" dataDxfId="10">
      <calculatedColumnFormula>IFERROR(VLOOKUP(A:A,'[1]2025'!$A:$O,15,0),"")</calculatedColumnFormula>
    </tableColumn>
    <tableColumn id="8" xr3:uid="{F72323E7-92F3-4746-97E6-252B70A52D7E}" name="Ürün Gamı" dataDxfId="9"/>
    <tableColumn id="9" xr3:uid="{F29E5A93-142F-4CDA-9EEB-3BD7E9B0FB7C}" name="Açıklama" dataDxfId="8">
      <calculatedColumnFormula>IFERROR(VLOOKUP(A:A,'[1]2025'!$A:$W,23,0),"")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24AEB0-FF5E-4E18-A2AB-C9C515ADE29A}" name="tblKullanicilar" displayName="tblKullanicilar" ref="A1:C14" totalsRowShown="0" headerRowDxfId="7" dataDxfId="6">
  <autoFilter ref="A1:C14" xr:uid="{5324AEB0-FF5E-4E18-A2AB-C9C515ADE29A}"/>
  <tableColumns count="3">
    <tableColumn id="1" xr3:uid="{F0617902-245C-4F4E-B81A-4B1BE73D3DC3}" name="Email" dataDxfId="5"/>
    <tableColumn id="2" xr3:uid="{91F1E17A-A99A-4C68-8212-3EC32B240DC8}" name="Sifre" dataDxfId="4">
      <calculatedColumnFormula>CONCATENATE("Ay.",MID(A2,1,3),LEN(A2))</calculatedColumnFormula>
    </tableColumn>
    <tableColumn id="3" xr3:uid="{E38875E7-797A-4465-9C49-849C8E8C0C79}" name="Kilitli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7F43D-8B96-4397-B11A-B1248DA1BD01}">
  <sheetPr codeName="Sayfa1"/>
  <dimension ref="A1:I60"/>
  <sheetViews>
    <sheetView tabSelected="1" zoomScale="55" zoomScaleNormal="55" workbookViewId="0">
      <pane xSplit="1" ySplit="1" topLeftCell="B19" activePane="bottomRight" state="frozen"/>
      <selection pane="topRight" activeCell="B1" sqref="B1"/>
      <selection pane="bottomLeft" activeCell="A2" sqref="A2"/>
      <selection pane="bottomRight" activeCell="H45" sqref="H45"/>
    </sheetView>
  </sheetViews>
  <sheetFormatPr defaultRowHeight="17.399999999999999" customHeight="1" x14ac:dyDescent="0.3"/>
  <cols>
    <col min="1" max="2" width="20.109375" style="1" customWidth="1"/>
    <col min="3" max="3" width="10.6640625" style="1" customWidth="1"/>
    <col min="4" max="4" width="16.5546875" style="1" customWidth="1"/>
    <col min="5" max="5" width="14.77734375" style="1" customWidth="1"/>
    <col min="6" max="6" width="13.33203125" style="1" customWidth="1"/>
    <col min="7" max="7" width="10.44140625" style="2" customWidth="1"/>
    <col min="8" max="8" width="13.44140625" style="1" customWidth="1"/>
    <col min="9" max="9" width="220.33203125" style="1" bestFit="1" customWidth="1"/>
    <col min="10" max="16384" width="8.88671875" style="1"/>
  </cols>
  <sheetData>
    <row r="1" spans="1:9" ht="17.399999999999999" customHeight="1" thickBot="1" x14ac:dyDescent="0.35">
      <c r="A1" s="26" t="s">
        <v>0</v>
      </c>
      <c r="B1" s="26" t="s">
        <v>1883</v>
      </c>
      <c r="C1" s="26" t="s">
        <v>1</v>
      </c>
      <c r="D1" s="26" t="s">
        <v>2</v>
      </c>
      <c r="E1" s="26" t="s">
        <v>3</v>
      </c>
      <c r="F1" s="26" t="s">
        <v>4</v>
      </c>
      <c r="G1" s="27" t="s">
        <v>5</v>
      </c>
      <c r="H1" s="26" t="s">
        <v>7</v>
      </c>
      <c r="I1" s="26" t="s">
        <v>6</v>
      </c>
    </row>
    <row r="2" spans="1:9" ht="17.399999999999999" customHeight="1" thickTop="1" x14ac:dyDescent="0.3">
      <c r="A2" s="28" t="s">
        <v>8</v>
      </c>
      <c r="B2" s="28"/>
      <c r="C2" s="29">
        <f>IFERROR(VLOOKUP(A:A,'0'!C:G,5,0),"0")</f>
        <v>1</v>
      </c>
      <c r="D2" s="25" t="str">
        <f t="shared" ref="D2:D33" si="0">IFERROR(IF(G2&lt;=1500,MROUND(G2/(1-0.1),50),IF(G2&lt;=3500,MROUND(G2/(1-0.1),100),IF(G2&lt;=5000,MROUND(G2/(1-0.1),250),MROUND(G2/(1-0.1),250)))),"")</f>
        <v/>
      </c>
      <c r="E2" s="25" t="str">
        <f t="shared" ref="E2:E33" si="1">IFERROR(IF(G2&lt;=1500,MROUND(G2/(1-0.067),50),IF(G2&lt;=3500,MROUND(G2/(1-0.067),100),IF(G2&lt;=5000,MROUND(G2/(1-0.067),250),MROUND(G2/(1-0.067),250)))),"")</f>
        <v/>
      </c>
      <c r="F2" s="25" t="str">
        <f t="shared" ref="F2:F33" si="2">IFERROR(IF(G2&lt;=1500,MROUND(G2/(1-0.03),50),IF(G2&lt;=3500,MROUND(G2/(1-0.03),100),IF(G2&lt;=5000,MROUND(G2/(1-0.03),250),MROUND(G2/(1-0.03),250)))),"")</f>
        <v/>
      </c>
      <c r="G2" s="25" t="str">
        <f>IFERROR(VLOOKUP(A:A,'[1]2025'!$A:$O,15,0),"")</f>
        <v/>
      </c>
      <c r="H2" s="28" t="s">
        <v>67</v>
      </c>
      <c r="I2" s="30" t="str">
        <f>IFERROR(VLOOKUP(A:A,'[1]2025'!$A:$W,23,0),"")</f>
        <v/>
      </c>
    </row>
    <row r="3" spans="1:9" ht="17.399999999999999" customHeight="1" x14ac:dyDescent="0.3">
      <c r="A3" s="28" t="s">
        <v>9</v>
      </c>
      <c r="B3" s="28"/>
      <c r="C3" s="29">
        <f>IFERROR(VLOOKUP(A:A,'0'!C:G,5,0),"0")</f>
        <v>4</v>
      </c>
      <c r="D3" s="25" t="str">
        <f t="shared" si="0"/>
        <v/>
      </c>
      <c r="E3" s="25" t="str">
        <f t="shared" si="1"/>
        <v/>
      </c>
      <c r="F3" s="25" t="str">
        <f t="shared" si="2"/>
        <v/>
      </c>
      <c r="G3" s="25" t="str">
        <f>IFERROR(VLOOKUP(A:A,'[1]2025'!$A:$O,15,0),"")</f>
        <v/>
      </c>
      <c r="H3" s="28" t="s">
        <v>67</v>
      </c>
      <c r="I3" s="30" t="str">
        <f>IFERROR(VLOOKUP(A:A,'[1]2025'!$A:$W,23,0),"")</f>
        <v/>
      </c>
    </row>
    <row r="4" spans="1:9" ht="17.399999999999999" customHeight="1" x14ac:dyDescent="0.3">
      <c r="A4" s="28" t="s">
        <v>10</v>
      </c>
      <c r="B4" s="28"/>
      <c r="C4" s="29">
        <f>IFERROR(VLOOKUP(A:A,'0'!C:G,5,0),"0")</f>
        <v>3</v>
      </c>
      <c r="D4" s="25" t="str">
        <f t="shared" si="0"/>
        <v/>
      </c>
      <c r="E4" s="25" t="str">
        <f t="shared" si="1"/>
        <v/>
      </c>
      <c r="F4" s="25" t="str">
        <f t="shared" si="2"/>
        <v/>
      </c>
      <c r="G4" s="25" t="str">
        <f>IFERROR(VLOOKUP(A:A,'[1]2025'!$A:$O,15,0),"")</f>
        <v/>
      </c>
      <c r="H4" s="28" t="s">
        <v>67</v>
      </c>
      <c r="I4" s="30" t="str">
        <f>IFERROR(VLOOKUP(A:A,'[1]2025'!$A:$W,23,0),"")</f>
        <v/>
      </c>
    </row>
    <row r="5" spans="1:9" ht="17.399999999999999" customHeight="1" x14ac:dyDescent="0.3">
      <c r="A5" s="28" t="s">
        <v>11</v>
      </c>
      <c r="B5" s="28"/>
      <c r="C5" s="29">
        <f>IFERROR(VLOOKUP(A:A,'0'!C:G,5,0),"0")</f>
        <v>2</v>
      </c>
      <c r="D5" s="25" t="str">
        <f t="shared" si="0"/>
        <v/>
      </c>
      <c r="E5" s="25" t="str">
        <f t="shared" si="1"/>
        <v/>
      </c>
      <c r="F5" s="25" t="str">
        <f t="shared" si="2"/>
        <v/>
      </c>
      <c r="G5" s="25" t="str">
        <f>IFERROR(VLOOKUP(A:A,'[1]2025'!$A:$O,15,0),"")</f>
        <v/>
      </c>
      <c r="H5" s="28" t="s">
        <v>67</v>
      </c>
      <c r="I5" s="30" t="str">
        <f>IFERROR(VLOOKUP(A:A,'[1]2025'!$A:$W,23,0),"")</f>
        <v/>
      </c>
    </row>
    <row r="6" spans="1:9" ht="17.399999999999999" customHeight="1" x14ac:dyDescent="0.3">
      <c r="A6" s="28" t="s">
        <v>12</v>
      </c>
      <c r="B6" s="28"/>
      <c r="C6" s="29">
        <f>IFERROR(VLOOKUP(A:A,'0'!C:G,5,0),"0")</f>
        <v>8</v>
      </c>
      <c r="D6" s="25" t="str">
        <f t="shared" si="0"/>
        <v/>
      </c>
      <c r="E6" s="25" t="str">
        <f t="shared" si="1"/>
        <v/>
      </c>
      <c r="F6" s="25" t="str">
        <f t="shared" si="2"/>
        <v/>
      </c>
      <c r="G6" s="25" t="str">
        <f>IFERROR(VLOOKUP(A:A,'[1]2025'!$A:$O,15,0),"")</f>
        <v/>
      </c>
      <c r="H6" s="28" t="s">
        <v>67</v>
      </c>
      <c r="I6" s="30" t="str">
        <f>IFERROR(VLOOKUP(A:A,'[1]2025'!$A:$W,23,0),"")</f>
        <v/>
      </c>
    </row>
    <row r="7" spans="1:9" ht="17.399999999999999" customHeight="1" x14ac:dyDescent="0.3">
      <c r="A7" s="28" t="s">
        <v>13</v>
      </c>
      <c r="B7" s="28"/>
      <c r="C7" s="29" t="str">
        <f>IFERROR(VLOOKUP(A:A,'0'!C:G,5,0),"0")</f>
        <v>0</v>
      </c>
      <c r="D7" s="25" t="str">
        <f t="shared" si="0"/>
        <v/>
      </c>
      <c r="E7" s="25" t="str">
        <f t="shared" si="1"/>
        <v/>
      </c>
      <c r="F7" s="25" t="str">
        <f t="shared" si="2"/>
        <v/>
      </c>
      <c r="G7" s="25" t="str">
        <f>IFERROR(VLOOKUP(A:A,'[1]2025'!$A:$O,15,0),"")</f>
        <v/>
      </c>
      <c r="H7" s="28" t="s">
        <v>67</v>
      </c>
      <c r="I7" s="30" t="str">
        <f>IFERROR(VLOOKUP(A:A,'[1]2025'!$A:$W,23,0),"")</f>
        <v/>
      </c>
    </row>
    <row r="8" spans="1:9" ht="17.399999999999999" customHeight="1" x14ac:dyDescent="0.3">
      <c r="A8" s="28" t="s">
        <v>14</v>
      </c>
      <c r="B8" s="28"/>
      <c r="C8" s="29">
        <f>IFERROR(VLOOKUP(A:A,'0'!C:G,5,0),"0")</f>
        <v>2</v>
      </c>
      <c r="D8" s="25">
        <f t="shared" si="0"/>
        <v>76750</v>
      </c>
      <c r="E8" s="25">
        <f t="shared" si="1"/>
        <v>74000</v>
      </c>
      <c r="F8" s="25">
        <f t="shared" si="2"/>
        <v>71250</v>
      </c>
      <c r="G8" s="25">
        <f>IFERROR(VLOOKUP(A:A,'[1]2025'!$A:$O,15,0),"")</f>
        <v>69000</v>
      </c>
      <c r="H8" s="28" t="s">
        <v>67</v>
      </c>
      <c r="I8" s="30" t="str">
        <f>IFERROR(VLOOKUP(A:A,'[1]2025'!$A:$W,23,0),"")</f>
        <v>Geo kodsuz 0 TL pahalanacaktır</v>
      </c>
    </row>
    <row r="9" spans="1:9" ht="17.399999999999999" customHeight="1" x14ac:dyDescent="0.3">
      <c r="A9" s="28" t="s">
        <v>15</v>
      </c>
      <c r="B9" s="28"/>
      <c r="C9" s="29">
        <f>IFERROR(VLOOKUP(A:A,'0'!C:G,5,0),"0")</f>
        <v>2</v>
      </c>
      <c r="D9" s="25">
        <f t="shared" si="0"/>
        <v>124000</v>
      </c>
      <c r="E9" s="25">
        <f t="shared" si="1"/>
        <v>119500</v>
      </c>
      <c r="F9" s="25">
        <f t="shared" si="2"/>
        <v>115000</v>
      </c>
      <c r="G9" s="25">
        <f>IFERROR(VLOOKUP(A:A,'[1]2025'!$A:$O,15,0),"")</f>
        <v>111500</v>
      </c>
      <c r="H9" s="28" t="s">
        <v>67</v>
      </c>
      <c r="I9" s="30" t="str">
        <f>IFERROR(VLOOKUP(A:A,'[1]2025'!$A:$W,23,0),"")</f>
        <v>Geo kodsuz 0 TL pahalanacaktır</v>
      </c>
    </row>
    <row r="10" spans="1:9" ht="17.399999999999999" customHeight="1" x14ac:dyDescent="0.3">
      <c r="A10" s="28" t="s">
        <v>16</v>
      </c>
      <c r="B10" s="28"/>
      <c r="C10" s="29">
        <f>IFERROR(VLOOKUP(A:A,'0'!C:G,5,0),"0")</f>
        <v>1</v>
      </c>
      <c r="D10" s="25" t="str">
        <f t="shared" si="0"/>
        <v/>
      </c>
      <c r="E10" s="25" t="str">
        <f t="shared" si="1"/>
        <v/>
      </c>
      <c r="F10" s="25" t="str">
        <f t="shared" si="2"/>
        <v/>
      </c>
      <c r="G10" s="25" t="str">
        <f>IFERROR(VLOOKUP(A:A,'[1]2025'!$A:$O,15,0),"")</f>
        <v/>
      </c>
      <c r="H10" s="28" t="s">
        <v>67</v>
      </c>
      <c r="I10" s="30" t="str">
        <f>IFERROR(VLOOKUP(A:A,'[1]2025'!$A:$W,23,0),"")</f>
        <v/>
      </c>
    </row>
    <row r="11" spans="1:9" ht="17.399999999999999" customHeight="1" x14ac:dyDescent="0.3">
      <c r="A11" s="28" t="s">
        <v>17</v>
      </c>
      <c r="B11" s="28"/>
      <c r="C11" s="29">
        <f>IFERROR(VLOOKUP(A:A,'0'!C:G,5,0),"0")</f>
        <v>2</v>
      </c>
      <c r="D11" s="25" t="str">
        <f t="shared" si="0"/>
        <v/>
      </c>
      <c r="E11" s="25" t="str">
        <f t="shared" si="1"/>
        <v/>
      </c>
      <c r="F11" s="25" t="str">
        <f t="shared" si="2"/>
        <v/>
      </c>
      <c r="G11" s="25" t="str">
        <f>IFERROR(VLOOKUP(A:A,'[1]2025'!$A:$O,15,0),"")</f>
        <v/>
      </c>
      <c r="H11" s="28" t="s">
        <v>67</v>
      </c>
      <c r="I11" s="30" t="str">
        <f>IFERROR(VLOOKUP(A:A,'[1]2025'!$A:$W,23,0),"")</f>
        <v/>
      </c>
    </row>
    <row r="12" spans="1:9" ht="17.399999999999999" customHeight="1" x14ac:dyDescent="0.3">
      <c r="A12" s="28" t="s">
        <v>18</v>
      </c>
      <c r="B12" s="28"/>
      <c r="C12" s="29">
        <f>IFERROR(VLOOKUP(A:A,'0'!C:G,5,0),"0")</f>
        <v>2</v>
      </c>
      <c r="D12" s="25" t="str">
        <f t="shared" si="0"/>
        <v/>
      </c>
      <c r="E12" s="25" t="str">
        <f t="shared" si="1"/>
        <v/>
      </c>
      <c r="F12" s="25" t="str">
        <f t="shared" si="2"/>
        <v/>
      </c>
      <c r="G12" s="25" t="str">
        <f>IFERROR(VLOOKUP(A:A,'[1]2025'!$A:$O,15,0),"")</f>
        <v/>
      </c>
      <c r="H12" s="28" t="s">
        <v>67</v>
      </c>
      <c r="I12" s="30" t="str">
        <f>IFERROR(VLOOKUP(A:A,'[1]2025'!$A:$W,23,0),"")</f>
        <v/>
      </c>
    </row>
    <row r="13" spans="1:9" ht="17.399999999999999" customHeight="1" x14ac:dyDescent="0.3">
      <c r="A13" s="28" t="s">
        <v>19</v>
      </c>
      <c r="B13" s="28"/>
      <c r="C13" s="29">
        <f>IFERROR(VLOOKUP(A:A,'0'!C:G,5,0),"0")</f>
        <v>2</v>
      </c>
      <c r="D13" s="25">
        <f t="shared" si="0"/>
        <v>26000</v>
      </c>
      <c r="E13" s="25">
        <f t="shared" si="1"/>
        <v>25250</v>
      </c>
      <c r="F13" s="25">
        <f t="shared" si="2"/>
        <v>24250</v>
      </c>
      <c r="G13" s="25">
        <f>IFERROR(VLOOKUP(A:A,'[1]2025'!$A:$O,15,0),"")</f>
        <v>23500</v>
      </c>
      <c r="H13" s="28" t="s">
        <v>67</v>
      </c>
      <c r="I13" s="30" t="str">
        <f>IFERROR(VLOOKUP(A:A,'[1]2025'!$A:$W,23,0),"")</f>
        <v>Geo kodsuz 3.455 TL pahalanacaktır ✦ VG-FBB3BA/ZN Hediye edilmelidir.</v>
      </c>
    </row>
    <row r="14" spans="1:9" ht="17.399999999999999" customHeight="1" x14ac:dyDescent="0.3">
      <c r="A14" s="28" t="s">
        <v>20</v>
      </c>
      <c r="B14" s="28"/>
      <c r="C14" s="29">
        <f>IFERROR(VLOOKUP(A:A,'0'!C:G,5,0),"0")</f>
        <v>2</v>
      </c>
      <c r="D14" s="25">
        <f t="shared" si="0"/>
        <v>11750</v>
      </c>
      <c r="E14" s="25">
        <f t="shared" si="1"/>
        <v>11250</v>
      </c>
      <c r="F14" s="25">
        <f t="shared" si="2"/>
        <v>10750</v>
      </c>
      <c r="G14" s="25">
        <f>IFERROR(VLOOKUP(A:A,'[1]2025'!$A:$O,15,0),"")</f>
        <v>10500</v>
      </c>
      <c r="H14" s="28" t="s">
        <v>67</v>
      </c>
      <c r="I14" s="30" t="str">
        <f>IFERROR(VLOOKUP(A:A,'[1]2025'!$A:$W,23,0),"")</f>
        <v>Geo alınmayabilir ✦ SP-LFF3CLAXXTK Ürün hediyesidir</v>
      </c>
    </row>
    <row r="15" spans="1:9" ht="17.399999999999999" customHeight="1" x14ac:dyDescent="0.3">
      <c r="A15" s="28" t="s">
        <v>21</v>
      </c>
      <c r="B15" s="28"/>
      <c r="C15" s="29">
        <f>IFERROR(VLOOKUP(A:A,'0'!C:G,5,0),"0")</f>
        <v>2</v>
      </c>
      <c r="D15" s="25">
        <f t="shared" si="0"/>
        <v>64000</v>
      </c>
      <c r="E15" s="25">
        <f t="shared" si="1"/>
        <v>61750</v>
      </c>
      <c r="F15" s="25">
        <f t="shared" si="2"/>
        <v>59250</v>
      </c>
      <c r="G15" s="25">
        <f>IFERROR(VLOOKUP(A:A,'[1]2025'!$A:$O,15,0),"")</f>
        <v>57500</v>
      </c>
      <c r="H15" s="28" t="s">
        <v>67</v>
      </c>
      <c r="I15" s="30" t="str">
        <f>IFERROR(VLOOKUP(A:A,'[1]2025'!$A:$W,23,0),"")</f>
        <v>Geo kodsuz 805 TL pahalanacaktır</v>
      </c>
    </row>
    <row r="16" spans="1:9" ht="17.399999999999999" customHeight="1" x14ac:dyDescent="0.3">
      <c r="A16" s="28" t="s">
        <v>22</v>
      </c>
      <c r="B16" s="28"/>
      <c r="C16" s="29">
        <f>IFERROR(VLOOKUP(A:A,'0'!C:G,5,0),"0")</f>
        <v>2</v>
      </c>
      <c r="D16" s="25">
        <f t="shared" si="0"/>
        <v>116000</v>
      </c>
      <c r="E16" s="25">
        <f t="shared" si="1"/>
        <v>112000</v>
      </c>
      <c r="F16" s="25">
        <f t="shared" si="2"/>
        <v>107750</v>
      </c>
      <c r="G16" s="25">
        <f>IFERROR(VLOOKUP(A:A,'[1]2025'!$A:$O,15,0),"")</f>
        <v>104500</v>
      </c>
      <c r="H16" s="28" t="s">
        <v>67</v>
      </c>
      <c r="I16" s="30" t="str">
        <f>IFERROR(VLOOKUP(A:A,'[1]2025'!$A:$W,23,0),"")</f>
        <v>7,5k S Wallet veya Mon veya SS x2 değerli (8 Mart) ✦ Geo kodsuz 1.205 TL pahalanacaktır ✦ 2-4T arası 2.200; Max. 5.550 TL indirim (25 Şub)</v>
      </c>
    </row>
    <row r="17" spans="1:9" ht="17.399999999999999" customHeight="1" x14ac:dyDescent="0.3">
      <c r="A17" s="28" t="s">
        <v>23</v>
      </c>
      <c r="B17" s="28"/>
      <c r="C17" s="29">
        <f>IFERROR(VLOOKUP(A:A,'0'!C:G,5,0),"0")</f>
        <v>8</v>
      </c>
      <c r="D17" s="25">
        <f t="shared" si="0"/>
        <v>25000</v>
      </c>
      <c r="E17" s="25">
        <f t="shared" si="1"/>
        <v>24000</v>
      </c>
      <c r="F17" s="25">
        <f t="shared" si="2"/>
        <v>23250</v>
      </c>
      <c r="G17" s="25">
        <f>IFERROR(VLOOKUP(A:A,'[1]2025'!$A:$O,15,0),"")</f>
        <v>22500</v>
      </c>
      <c r="H17" s="28" t="s">
        <v>67</v>
      </c>
      <c r="I17" s="30" t="str">
        <f>IFERROR(VLOOKUP(A:A,'[1]2025'!$A:$W,23,0),"")</f>
        <v>Geo kodsuz 55 TL pahalanacaktır</v>
      </c>
    </row>
    <row r="18" spans="1:9" ht="17.399999999999999" customHeight="1" x14ac:dyDescent="0.3">
      <c r="A18" s="28" t="s">
        <v>24</v>
      </c>
      <c r="B18" s="28"/>
      <c r="C18" s="29">
        <f>IFERROR(VLOOKUP(A:A,'0'!C:G,5,0),"0")</f>
        <v>2</v>
      </c>
      <c r="D18" s="25">
        <f t="shared" si="0"/>
        <v>30000</v>
      </c>
      <c r="E18" s="25">
        <f t="shared" si="1"/>
        <v>29000</v>
      </c>
      <c r="F18" s="25">
        <f t="shared" si="2"/>
        <v>27750</v>
      </c>
      <c r="G18" s="25">
        <f>IFERROR(VLOOKUP(A:A,'[1]2025'!$A:$O,15,0),"")</f>
        <v>27000</v>
      </c>
      <c r="H18" s="28" t="s">
        <v>67</v>
      </c>
      <c r="I18" s="30" t="str">
        <f>IFERROR(VLOOKUP(A:A,'[1]2025'!$A:$W,23,0),"")</f>
        <v>Geo kodsuz 30 TL pahalanacaktır</v>
      </c>
    </row>
    <row r="19" spans="1:9" ht="17.399999999999999" customHeight="1" x14ac:dyDescent="0.3">
      <c r="A19" s="28" t="s">
        <v>25</v>
      </c>
      <c r="B19" s="28"/>
      <c r="C19" s="29">
        <f>IFERROR(VLOOKUP(A:A,'0'!C:G,5,0),"0")</f>
        <v>3</v>
      </c>
      <c r="D19" s="25">
        <f t="shared" si="0"/>
        <v>34000</v>
      </c>
      <c r="E19" s="25">
        <f t="shared" si="1"/>
        <v>32750</v>
      </c>
      <c r="F19" s="25">
        <f t="shared" si="2"/>
        <v>31500</v>
      </c>
      <c r="G19" s="25">
        <f>IFERROR(VLOOKUP(A:A,'[1]2025'!$A:$O,15,0),"")</f>
        <v>30500</v>
      </c>
      <c r="H19" s="28" t="s">
        <v>67</v>
      </c>
      <c r="I19" s="30" t="str">
        <f>IFERROR(VLOOKUP(A:A,'[1]2025'!$A:$W,23,0),"")</f>
        <v>Geo kodsuz 976 TL pahalanacaktır</v>
      </c>
    </row>
    <row r="20" spans="1:9" ht="17.399999999999999" customHeight="1" x14ac:dyDescent="0.3">
      <c r="A20" s="28" t="s">
        <v>26</v>
      </c>
      <c r="B20" s="28"/>
      <c r="C20" s="29">
        <f>IFERROR(VLOOKUP(A:A,'0'!C:G,5,0),"0")</f>
        <v>7</v>
      </c>
      <c r="D20" s="25">
        <f t="shared" si="0"/>
        <v>43250</v>
      </c>
      <c r="E20" s="25">
        <f t="shared" si="1"/>
        <v>41750</v>
      </c>
      <c r="F20" s="25">
        <f t="shared" si="2"/>
        <v>40250</v>
      </c>
      <c r="G20" s="25">
        <f>IFERROR(VLOOKUP(A:A,'[1]2025'!$A:$O,15,0),"")</f>
        <v>39000</v>
      </c>
      <c r="H20" s="28" t="s">
        <v>67</v>
      </c>
      <c r="I20" s="30" t="str">
        <f>IFERROR(VLOOKUP(A:A,'[1]2025'!$A:$W,23,0),"")</f>
        <v>Geo kodsuz 90 TL pahalanacaktır ✦ 2-4T arası 850; Max. 2.100 TL indirim (25 Şub)</v>
      </c>
    </row>
    <row r="21" spans="1:9" ht="17.399999999999999" customHeight="1" x14ac:dyDescent="0.3">
      <c r="A21" s="28" t="s">
        <v>27</v>
      </c>
      <c r="B21" s="28"/>
      <c r="C21" s="29">
        <f>IFERROR(VLOOKUP(A:A,'0'!C:G,5,0),"0")</f>
        <v>11</v>
      </c>
      <c r="D21" s="25">
        <f t="shared" si="0"/>
        <v>54500</v>
      </c>
      <c r="E21" s="25">
        <f t="shared" si="1"/>
        <v>52500</v>
      </c>
      <c r="F21" s="25">
        <f t="shared" si="2"/>
        <v>50500</v>
      </c>
      <c r="G21" s="25">
        <f>IFERROR(VLOOKUP(A:A,'[1]2025'!$A:$O,15,0),"")</f>
        <v>49000</v>
      </c>
      <c r="H21" s="28" t="s">
        <v>67</v>
      </c>
      <c r="I21" s="30" t="str">
        <f>IFERROR(VLOOKUP(A:A,'[1]2025'!$A:$W,23,0),"")</f>
        <v>Geo kodsuz 115 TL pahalanacaktır ✦ 2-4T arası 1.050; Max. 2.600 TL indirim (25 Şub)</v>
      </c>
    </row>
    <row r="22" spans="1:9" ht="17.399999999999999" customHeight="1" x14ac:dyDescent="0.3">
      <c r="A22" s="28" t="s">
        <v>28</v>
      </c>
      <c r="B22" s="28"/>
      <c r="C22" s="29">
        <f>IFERROR(VLOOKUP(A:A,'0'!C:G,5,0),"0")</f>
        <v>3</v>
      </c>
      <c r="D22" s="25">
        <f t="shared" si="0"/>
        <v>70500</v>
      </c>
      <c r="E22" s="25">
        <f t="shared" si="1"/>
        <v>68000</v>
      </c>
      <c r="F22" s="25">
        <f t="shared" si="2"/>
        <v>65500</v>
      </c>
      <c r="G22" s="25">
        <f>IFERROR(VLOOKUP(A:A,'[1]2025'!$A:$O,15,0),"")</f>
        <v>63500</v>
      </c>
      <c r="H22" s="28" t="s">
        <v>67</v>
      </c>
      <c r="I22" s="30" t="str">
        <f>IFERROR(VLOOKUP(A:A,'[1]2025'!$A:$W,23,0),"")</f>
        <v>Geo kodsuz 65 TL pahalanacaktır ✦ 2-4T arası 1.350; Max. 3.350 TL indirim (25 Şub)</v>
      </c>
    </row>
    <row r="23" spans="1:9" ht="17.399999999999999" customHeight="1" x14ac:dyDescent="0.3">
      <c r="A23" s="28" t="s">
        <v>29</v>
      </c>
      <c r="B23" s="28"/>
      <c r="C23" s="29">
        <f>IFERROR(VLOOKUP(A:A,'0'!C:G,5,0),"0")</f>
        <v>2</v>
      </c>
      <c r="D23" s="25">
        <f t="shared" si="0"/>
        <v>130500</v>
      </c>
      <c r="E23" s="25">
        <f t="shared" si="1"/>
        <v>126000</v>
      </c>
      <c r="F23" s="25">
        <f t="shared" si="2"/>
        <v>121250</v>
      </c>
      <c r="G23" s="25">
        <f>IFERROR(VLOOKUP(A:A,'[1]2025'!$A:$O,15,0),"")</f>
        <v>117500</v>
      </c>
      <c r="H23" s="28" t="s">
        <v>67</v>
      </c>
      <c r="I23" s="30" t="str">
        <f>IFERROR(VLOOKUP(A:A,'[1]2025'!$A:$W,23,0),"")</f>
        <v>7,5k S Wallet veya Mon veya SS x2 değerli (8 Mart) ✦ Geo kodsuz 635 TL pahalanacaktır ✦ 2-4T arası 2.450; Max. 6.150 TL indirim (25 Şub)</v>
      </c>
    </row>
    <row r="24" spans="1:9" ht="17.399999999999999" customHeight="1" x14ac:dyDescent="0.3">
      <c r="A24" s="28" t="s">
        <v>30</v>
      </c>
      <c r="B24" s="28"/>
      <c r="C24" s="29">
        <f>IFERROR(VLOOKUP(A:A,'0'!C:G,5,0),"0")</f>
        <v>3</v>
      </c>
      <c r="D24" s="25">
        <f t="shared" si="0"/>
        <v>44000</v>
      </c>
      <c r="E24" s="25">
        <f t="shared" si="1"/>
        <v>42250</v>
      </c>
      <c r="F24" s="25">
        <f t="shared" si="2"/>
        <v>40750</v>
      </c>
      <c r="G24" s="25">
        <f>IFERROR(VLOOKUP(A:A,'[1]2025'!$A:$O,15,0),"")</f>
        <v>39500</v>
      </c>
      <c r="H24" s="28" t="s">
        <v>67</v>
      </c>
      <c r="I24" s="30" t="str">
        <f>IFERROR(VLOOKUP(A:A,'[1]2025'!$A:$W,23,0),"")</f>
        <v>Geo kodsuz 320 TL pahalanacaktır</v>
      </c>
    </row>
    <row r="25" spans="1:9" ht="17.399999999999999" customHeight="1" x14ac:dyDescent="0.3">
      <c r="A25" s="28" t="s">
        <v>31</v>
      </c>
      <c r="B25" s="28"/>
      <c r="C25" s="29">
        <f>IFERROR(VLOOKUP(A:A,'0'!C:G,5,0),"0")</f>
        <v>10</v>
      </c>
      <c r="D25" s="25">
        <f t="shared" si="0"/>
        <v>55500</v>
      </c>
      <c r="E25" s="25">
        <f t="shared" si="1"/>
        <v>53500</v>
      </c>
      <c r="F25" s="25">
        <f t="shared" si="2"/>
        <v>51500</v>
      </c>
      <c r="G25" s="25">
        <f>IFERROR(VLOOKUP(A:A,'[1]2025'!$A:$O,15,0),"")</f>
        <v>50000</v>
      </c>
      <c r="H25" s="28" t="s">
        <v>67</v>
      </c>
      <c r="I25" s="30" t="str">
        <f>IFERROR(VLOOKUP(A:A,'[1]2025'!$A:$W,23,0),"")</f>
        <v>Geo kodsuz 160 TL pahalanacaktır ✦ 2-4T arası 1.050; Max. 2.650 TL indirim (25 Şub)</v>
      </c>
    </row>
    <row r="26" spans="1:9" ht="17.399999999999999" customHeight="1" x14ac:dyDescent="0.3">
      <c r="A26" s="28" t="s">
        <v>32</v>
      </c>
      <c r="B26" s="28"/>
      <c r="C26" s="29">
        <f>IFERROR(VLOOKUP(A:A,'0'!C:G,5,0),"0")</f>
        <v>13</v>
      </c>
      <c r="D26" s="25">
        <f t="shared" si="0"/>
        <v>69000</v>
      </c>
      <c r="E26" s="25">
        <f t="shared" si="1"/>
        <v>66500</v>
      </c>
      <c r="F26" s="25">
        <f t="shared" si="2"/>
        <v>64000</v>
      </c>
      <c r="G26" s="25">
        <f>IFERROR(VLOOKUP(A:A,'[1]2025'!$A:$O,15,0),"")</f>
        <v>62000</v>
      </c>
      <c r="H26" s="28" t="s">
        <v>67</v>
      </c>
      <c r="I26" s="30" t="str">
        <f>IFERROR(VLOOKUP(A:A,'[1]2025'!$A:$W,23,0),"")</f>
        <v>Geo kodsuz 380 TL pahalanacaktır ✦ 2-4T arası 1.300; Max. 3.300 TL indirim (25 Şub)</v>
      </c>
    </row>
    <row r="27" spans="1:9" ht="17.399999999999999" customHeight="1" x14ac:dyDescent="0.3">
      <c r="A27" s="28" t="s">
        <v>33</v>
      </c>
      <c r="B27" s="28"/>
      <c r="C27" s="29">
        <f>IFERROR(VLOOKUP(A:A,'0'!C:G,5,0),"0")</f>
        <v>3</v>
      </c>
      <c r="D27" s="25">
        <f t="shared" si="0"/>
        <v>55000</v>
      </c>
      <c r="E27" s="25">
        <f t="shared" si="1"/>
        <v>53000</v>
      </c>
      <c r="F27" s="25">
        <f t="shared" si="2"/>
        <v>51000</v>
      </c>
      <c r="G27" s="25">
        <f>IFERROR(VLOOKUP(A:A,'[1]2025'!$A:$O,15,0),"")</f>
        <v>49500</v>
      </c>
      <c r="H27" s="28" t="s">
        <v>67</v>
      </c>
      <c r="I27" s="30" t="str">
        <f>IFERROR(VLOOKUP(A:A,'[1]2025'!$A:$W,23,0),"")</f>
        <v>Geo kodsuz 3.245 TL pahalanacaktır</v>
      </c>
    </row>
    <row r="28" spans="1:9" ht="17.399999999999999" customHeight="1" x14ac:dyDescent="0.3">
      <c r="A28" s="28" t="s">
        <v>34</v>
      </c>
      <c r="B28" s="28"/>
      <c r="C28" s="29">
        <f>IFERROR(VLOOKUP(A:A,'0'!C:G,5,0),"0")</f>
        <v>5</v>
      </c>
      <c r="D28" s="25">
        <f t="shared" si="0"/>
        <v>72250</v>
      </c>
      <c r="E28" s="25">
        <f t="shared" si="1"/>
        <v>69750</v>
      </c>
      <c r="F28" s="25">
        <f t="shared" si="2"/>
        <v>67000</v>
      </c>
      <c r="G28" s="25">
        <f>IFERROR(VLOOKUP(A:A,'[1]2025'!$A:$O,15,0),"")</f>
        <v>65000</v>
      </c>
      <c r="H28" s="28" t="s">
        <v>67</v>
      </c>
      <c r="I28" s="30" t="str">
        <f>IFERROR(VLOOKUP(A:A,'[1]2025'!$A:$W,23,0),"")</f>
        <v>5k S Wallet veya Mon veya SS x2 değerli (8 Mart) ✦ Geo kodsuz 890 TL pahalanacaktır ✦ 2-4T arası 1.400; Max. 3.450 TL indirim (25 Şub)</v>
      </c>
    </row>
    <row r="29" spans="1:9" ht="17.399999999999999" customHeight="1" x14ac:dyDescent="0.3">
      <c r="A29" s="28" t="s">
        <v>35</v>
      </c>
      <c r="B29" s="28"/>
      <c r="C29" s="29">
        <f>IFERROR(VLOOKUP(A:A,'0'!C:G,5,0),"0")</f>
        <v>5</v>
      </c>
      <c r="D29" s="25">
        <f t="shared" si="0"/>
        <v>90000</v>
      </c>
      <c r="E29" s="25">
        <f t="shared" si="1"/>
        <v>86750</v>
      </c>
      <c r="F29" s="25">
        <f t="shared" si="2"/>
        <v>83500</v>
      </c>
      <c r="G29" s="25">
        <f>IFERROR(VLOOKUP(A:A,'[1]2025'!$A:$O,15,0),"")</f>
        <v>81000</v>
      </c>
      <c r="H29" s="28" t="s">
        <v>67</v>
      </c>
      <c r="I29" s="30" t="str">
        <f>IFERROR(VLOOKUP(A:A,'[1]2025'!$A:$W,23,0),"")</f>
        <v>5k S Wallet veya Mon veya SS x2 değerli (8 Mart) ✦ Geo kodsuz 540 TL pahalanacaktır ✦ 2-4T arası 1.700; Max. 4.300 TL indirim (25 Şub)</v>
      </c>
    </row>
    <row r="30" spans="1:9" ht="17.399999999999999" customHeight="1" x14ac:dyDescent="0.3">
      <c r="A30" s="28" t="s">
        <v>36</v>
      </c>
      <c r="B30" s="28"/>
      <c r="C30" s="29">
        <f>IFERROR(VLOOKUP(A:A,'0'!C:G,5,0),"0")</f>
        <v>3</v>
      </c>
      <c r="D30" s="25">
        <f t="shared" si="0"/>
        <v>107250</v>
      </c>
      <c r="E30" s="25">
        <f t="shared" si="1"/>
        <v>103500</v>
      </c>
      <c r="F30" s="25">
        <f t="shared" si="2"/>
        <v>99500</v>
      </c>
      <c r="G30" s="25">
        <f>IFERROR(VLOOKUP(A:A,'[1]2025'!$A:$O,15,0),"")</f>
        <v>96500</v>
      </c>
      <c r="H30" s="28" t="s">
        <v>67</v>
      </c>
      <c r="I30" s="30" t="str">
        <f>IFERROR(VLOOKUP(A:A,'[1]2025'!$A:$W,23,0),"")</f>
        <v>7,5k S Wallet veya Mon veya SS x2 değerli (8 Mart) ✦ Geo kodsuz 4.870 TL pahalanacaktır ✦ 2-4T arası 2.050; Max. 5.150 TL indirim (25 Şub)</v>
      </c>
    </row>
    <row r="31" spans="1:9" ht="17.399999999999999" customHeight="1" x14ac:dyDescent="0.3">
      <c r="A31" s="28" t="s">
        <v>37</v>
      </c>
      <c r="B31" s="28"/>
      <c r="C31" s="29">
        <f>IFERROR(VLOOKUP(A:A,'0'!C:G,5,0),"0")</f>
        <v>5</v>
      </c>
      <c r="D31" s="25">
        <f t="shared" si="0"/>
        <v>136000</v>
      </c>
      <c r="E31" s="25">
        <f t="shared" si="1"/>
        <v>131250</v>
      </c>
      <c r="F31" s="25">
        <f t="shared" si="2"/>
        <v>126250</v>
      </c>
      <c r="G31" s="25">
        <f>IFERROR(VLOOKUP(A:A,'[1]2025'!$A:$O,15,0),"")</f>
        <v>122500</v>
      </c>
      <c r="H31" s="28" t="s">
        <v>67</v>
      </c>
      <c r="I31" s="30" t="str">
        <f>IFERROR(VLOOKUP(A:A,'[1]2025'!$A:$W,23,0),"")</f>
        <v>7,5k S Wallet veya Mon veya SS x2 değerli (8 Mart) ✦ Geo kodsuz 3.090 TL pahalanacaktır ✦ 2-4T arası 2.600; Max. 6.500 TL indirim (25 Şub)</v>
      </c>
    </row>
    <row r="32" spans="1:9" ht="17.399999999999999" customHeight="1" x14ac:dyDescent="0.3">
      <c r="A32" s="28" t="s">
        <v>38</v>
      </c>
      <c r="B32" s="28"/>
      <c r="C32" s="29">
        <f>IFERROR(VLOOKUP(A:A,'0'!C:G,5,0),"0")</f>
        <v>3</v>
      </c>
      <c r="D32" s="25">
        <f t="shared" si="0"/>
        <v>117250</v>
      </c>
      <c r="E32" s="25">
        <f t="shared" si="1"/>
        <v>113000</v>
      </c>
      <c r="F32" s="25">
        <f t="shared" si="2"/>
        <v>108750</v>
      </c>
      <c r="G32" s="25">
        <f>IFERROR(VLOOKUP(A:A,'[1]2025'!$A:$O,15,0),"")</f>
        <v>105500</v>
      </c>
      <c r="H32" s="28" t="s">
        <v>67</v>
      </c>
      <c r="I32" s="30" t="str">
        <f>IFERROR(VLOOKUP(A:A,'[1]2025'!$A:$W,23,0),"")</f>
        <v>7,5k S Wallet veya Mon veya SS x2 değerli (8 Mart) ✦ Geo kodsuz 230 TL pahalanacaktır ✦ 2-4T arası 2.250; Max. 5.600 TL indirim (25 Şub)</v>
      </c>
    </row>
    <row r="33" spans="1:9" ht="17.399999999999999" customHeight="1" x14ac:dyDescent="0.3">
      <c r="A33" s="28" t="s">
        <v>39</v>
      </c>
      <c r="B33" s="28"/>
      <c r="C33" s="29">
        <f>IFERROR(VLOOKUP(A:A,'0'!C:G,5,0),"0")</f>
        <v>3</v>
      </c>
      <c r="D33" s="25">
        <f t="shared" si="0"/>
        <v>172750</v>
      </c>
      <c r="E33" s="25">
        <f t="shared" si="1"/>
        <v>166750</v>
      </c>
      <c r="F33" s="25">
        <f t="shared" si="2"/>
        <v>160250</v>
      </c>
      <c r="G33" s="25">
        <f>IFERROR(VLOOKUP(A:A,'[1]2025'!$A:$O,15,0),"")</f>
        <v>155500</v>
      </c>
      <c r="H33" s="28" t="s">
        <v>67</v>
      </c>
      <c r="I33" s="30" t="str">
        <f>IFERROR(VLOOKUP(A:A,'[1]2025'!$A:$W,23,0),"")</f>
        <v>15k S Wallet veya Mon veya SS x2 değerli (8 Mart) ✦ Geo kodsuz 7.460 TL pahalanacaktır ✦ 2-4T arası 3.300; Max. 8.250 TL indirim (25 Şub)</v>
      </c>
    </row>
    <row r="34" spans="1:9" ht="17.399999999999999" customHeight="1" x14ac:dyDescent="0.3">
      <c r="A34" s="28" t="s">
        <v>40</v>
      </c>
      <c r="B34" s="28"/>
      <c r="C34" s="29" t="str">
        <f>IFERROR(VLOOKUP(A:A,'0'!C:G,5,0),"0")</f>
        <v>0</v>
      </c>
      <c r="D34" s="25">
        <f t="shared" ref="D34:D60" si="3">IFERROR(IF(G34&lt;=1500,MROUND(G34/(1-0.1),50),IF(G34&lt;=3500,MROUND(G34/(1-0.1),100),IF(G34&lt;=5000,MROUND(G34/(1-0.1),250),MROUND(G34/(1-0.1),250)))),"")</f>
        <v>272250</v>
      </c>
      <c r="E34" s="25">
        <f t="shared" ref="E34:E60" si="4">IFERROR(IF(G34&lt;=1500,MROUND(G34/(1-0.067),50),IF(G34&lt;=3500,MROUND(G34/(1-0.067),100),IF(G34&lt;=5000,MROUND(G34/(1-0.067),250),MROUND(G34/(1-0.067),250)))),"")</f>
        <v>262500</v>
      </c>
      <c r="F34" s="25">
        <f t="shared" ref="F34:F60" si="5">IFERROR(IF(G34&lt;=1500,MROUND(G34/(1-0.03),50),IF(G34&lt;=3500,MROUND(G34/(1-0.03),100),IF(G34&lt;=5000,MROUND(G34/(1-0.03),250),MROUND(G34/(1-0.03),250)))),"")</f>
        <v>252500</v>
      </c>
      <c r="G34" s="25">
        <f>IFERROR(VLOOKUP(A:A,'[1]2025'!$A:$O,15,0),"")</f>
        <v>245000</v>
      </c>
      <c r="H34" s="28" t="s">
        <v>67</v>
      </c>
      <c r="I34" s="30" t="str">
        <f>IFERROR(VLOOKUP(A:A,'[1]2025'!$A:$W,23,0),"")</f>
        <v>20k S Wallet veya Mon veya SS x2 değerli (8 Mart) ✦ Geo kodsuz 5.806 TL pahalanacaktır ✦ 2-4T arası 5.200; Max. 13.000 TL indirim (25 Şub)</v>
      </c>
    </row>
    <row r="35" spans="1:9" ht="17.399999999999999" customHeight="1" x14ac:dyDescent="0.3">
      <c r="A35" s="28" t="s">
        <v>41</v>
      </c>
      <c r="B35" s="28"/>
      <c r="C35" s="29">
        <f>IFERROR(VLOOKUP(A:A,'0'!C:G,5,0),"0")</f>
        <v>2</v>
      </c>
      <c r="D35" s="25">
        <f t="shared" si="3"/>
        <v>79000</v>
      </c>
      <c r="E35" s="25">
        <f t="shared" si="4"/>
        <v>76000</v>
      </c>
      <c r="F35" s="25">
        <f t="shared" si="5"/>
        <v>73250</v>
      </c>
      <c r="G35" s="25">
        <f>IFERROR(VLOOKUP(A:A,'[1]2025'!$A:$O,15,0),"")</f>
        <v>71000</v>
      </c>
      <c r="H35" s="28" t="s">
        <v>67</v>
      </c>
      <c r="I35" s="30" t="str">
        <f>IFERROR(VLOOKUP(A:A,'[1]2025'!$A:$W,23,0),"")</f>
        <v>Geo kodsuz 1.885 TL pahalanacaktır</v>
      </c>
    </row>
    <row r="36" spans="1:9" ht="17.399999999999999" customHeight="1" x14ac:dyDescent="0.3">
      <c r="A36" s="28" t="s">
        <v>42</v>
      </c>
      <c r="B36" s="28"/>
      <c r="C36" s="29">
        <f>IFERROR(VLOOKUP(A:A,'0'!C:G,5,0),"0")</f>
        <v>2</v>
      </c>
      <c r="D36" s="25">
        <f t="shared" si="3"/>
        <v>91000</v>
      </c>
      <c r="E36" s="25">
        <f t="shared" si="4"/>
        <v>88000</v>
      </c>
      <c r="F36" s="25">
        <f t="shared" si="5"/>
        <v>84500</v>
      </c>
      <c r="G36" s="25">
        <f>IFERROR(VLOOKUP(A:A,'[1]2025'!$A:$O,15,0),"")</f>
        <v>82000</v>
      </c>
      <c r="H36" s="28" t="s">
        <v>67</v>
      </c>
      <c r="I36" s="30" t="str">
        <f>IFERROR(VLOOKUP(A:A,'[1]2025'!$A:$W,23,0),"")</f>
        <v>Geo kodsuz 6.815 TL pahalanacaktır</v>
      </c>
    </row>
    <row r="37" spans="1:9" ht="17.399999999999999" customHeight="1" x14ac:dyDescent="0.3">
      <c r="A37" s="28" t="s">
        <v>43</v>
      </c>
      <c r="B37" s="28"/>
      <c r="C37" s="29">
        <f>IFERROR(VLOOKUP(A:A,'0'!C:G,5,0),"0")</f>
        <v>2</v>
      </c>
      <c r="D37" s="25">
        <f t="shared" si="3"/>
        <v>97750</v>
      </c>
      <c r="E37" s="25">
        <f t="shared" si="4"/>
        <v>94250</v>
      </c>
      <c r="F37" s="25">
        <f t="shared" si="5"/>
        <v>90750</v>
      </c>
      <c r="G37" s="25">
        <f>IFERROR(VLOOKUP(A:A,'[1]2025'!$A:$O,15,0),"")</f>
        <v>88000</v>
      </c>
      <c r="H37" s="28" t="s">
        <v>67</v>
      </c>
      <c r="I37" s="30" t="str">
        <f>IFERROR(VLOOKUP(A:A,'[1]2025'!$A:$W,23,0),"")</f>
        <v>5k S Wallet veya Mon veya SS x2 değerli (8 Mart) ✦ Geo kodsuz 2.405 TL pahalanacaktır ✦ 2-4T arası 1.850; Max. 4.700 TL indirim (25 Şub)</v>
      </c>
    </row>
    <row r="38" spans="1:9" ht="17.399999999999999" customHeight="1" x14ac:dyDescent="0.3">
      <c r="A38" s="28" t="s">
        <v>44</v>
      </c>
      <c r="B38" s="28"/>
      <c r="C38" s="29">
        <f>IFERROR(VLOOKUP(A:A,'0'!C:G,5,0),"0")</f>
        <v>4</v>
      </c>
      <c r="D38" s="25">
        <f t="shared" si="3"/>
        <v>120000</v>
      </c>
      <c r="E38" s="25">
        <f t="shared" si="4"/>
        <v>115750</v>
      </c>
      <c r="F38" s="25">
        <f t="shared" si="5"/>
        <v>111250</v>
      </c>
      <c r="G38" s="25">
        <f>IFERROR(VLOOKUP(A:A,'[1]2025'!$A:$O,15,0),"")</f>
        <v>108000</v>
      </c>
      <c r="H38" s="28" t="s">
        <v>67</v>
      </c>
      <c r="I38" s="30" t="str">
        <f>IFERROR(VLOOKUP(A:A,'[1]2025'!$A:$W,23,0),"")</f>
        <v>7,5k S Wallet veya Mon veya SS x2 değerli (8 Mart) ✦ Geo kodsuz 2.900 TL pahalanacaktır ✦ 2-4T arası 2.300; Max. 5.750 TL indirim (25 Şub)</v>
      </c>
    </row>
    <row r="39" spans="1:9" ht="17.399999999999999" customHeight="1" x14ac:dyDescent="0.3">
      <c r="A39" s="28" t="s">
        <v>45</v>
      </c>
      <c r="B39" s="28"/>
      <c r="C39" s="29">
        <f>IFERROR(VLOOKUP(A:A,'0'!C:G,5,0),"0")</f>
        <v>3</v>
      </c>
      <c r="D39" s="25">
        <f t="shared" si="3"/>
        <v>165500</v>
      </c>
      <c r="E39" s="25">
        <f t="shared" si="4"/>
        <v>159750</v>
      </c>
      <c r="F39" s="25">
        <f t="shared" si="5"/>
        <v>153500</v>
      </c>
      <c r="G39" s="25">
        <f>IFERROR(VLOOKUP(A:A,'[1]2025'!$A:$O,15,0),"")</f>
        <v>149000</v>
      </c>
      <c r="H39" s="28" t="s">
        <v>67</v>
      </c>
      <c r="I39" s="30" t="str">
        <f>IFERROR(VLOOKUP(A:A,'[1]2025'!$A:$W,23,0),"")</f>
        <v>10k S Wallet veya Mon veya SS x2 değerli (8 Mart) ✦ Geo kodsuz 6.400 TL pahalanacaktır ✦ 2-4T arası 3.150; Max. 7.900 TL indirim (25 Şub)</v>
      </c>
    </row>
    <row r="40" spans="1:9" ht="17.399999999999999" customHeight="1" x14ac:dyDescent="0.3">
      <c r="A40" s="28" t="s">
        <v>46</v>
      </c>
      <c r="B40" s="28"/>
      <c r="C40" s="29">
        <f>IFERROR(VLOOKUP(A:A,'0'!C:G,5,0),"0")</f>
        <v>3</v>
      </c>
      <c r="D40" s="25">
        <f t="shared" si="3"/>
        <v>145000</v>
      </c>
      <c r="E40" s="25">
        <f t="shared" si="4"/>
        <v>139750</v>
      </c>
      <c r="F40" s="25">
        <f t="shared" si="5"/>
        <v>134500</v>
      </c>
      <c r="G40" s="25">
        <f>IFERROR(VLOOKUP(A:A,'[1]2025'!$A:$O,15,0),"")</f>
        <v>130500</v>
      </c>
      <c r="H40" s="28" t="s">
        <v>67</v>
      </c>
      <c r="I40" s="30" t="str">
        <f>IFERROR(VLOOKUP(A:A,'[1]2025'!$A:$W,23,0),"")</f>
        <v>10k S Wallet veya Mon veya SS x2 değerli (8 Mart) ✦ Geo kodsuz 4.080 TL pahalanacaktır ✦ 2-4T arası 2.750; Max. 6.950 TL indirim (25 Şub)</v>
      </c>
    </row>
    <row r="41" spans="1:9" ht="17.399999999999999" customHeight="1" x14ac:dyDescent="0.3">
      <c r="A41" s="28" t="s">
        <v>47</v>
      </c>
      <c r="B41" s="28"/>
      <c r="C41" s="29">
        <f>IFERROR(VLOOKUP(A:A,'0'!C:G,5,0),"0")</f>
        <v>5</v>
      </c>
      <c r="D41" s="25">
        <f t="shared" si="3"/>
        <v>177250</v>
      </c>
      <c r="E41" s="25">
        <f t="shared" si="4"/>
        <v>171000</v>
      </c>
      <c r="F41" s="25">
        <f t="shared" si="5"/>
        <v>164500</v>
      </c>
      <c r="G41" s="25">
        <f>IFERROR(VLOOKUP(A:A,'[1]2025'!$A:$O,15,0),"")</f>
        <v>159500</v>
      </c>
      <c r="H41" s="28" t="s">
        <v>67</v>
      </c>
      <c r="I41" s="30" t="str">
        <f>IFERROR(VLOOKUP(A:A,'[1]2025'!$A:$W,23,0),"")</f>
        <v>15k S Wallet veya Mon veya SS x2 değerli (8 Mart) ✦ Geo kodsuz 4.456 TL pahalanacaktır ✦ 2-4T arası 3.400; Max. 8.450 TL indirim (25 Şub)</v>
      </c>
    </row>
    <row r="42" spans="1:9" ht="17.399999999999999" customHeight="1" x14ac:dyDescent="0.3">
      <c r="A42" s="28" t="s">
        <v>48</v>
      </c>
      <c r="B42" s="28"/>
      <c r="C42" s="29">
        <f>IFERROR(VLOOKUP(A:A,'0'!C:G,5,0),"0")</f>
        <v>3</v>
      </c>
      <c r="D42" s="25">
        <f t="shared" si="3"/>
        <v>246000</v>
      </c>
      <c r="E42" s="25">
        <f t="shared" si="4"/>
        <v>237500</v>
      </c>
      <c r="F42" s="25">
        <f t="shared" si="5"/>
        <v>228250</v>
      </c>
      <c r="G42" s="25">
        <f>IFERROR(VLOOKUP(A:A,'[1]2025'!$A:$O,15,0),"")</f>
        <v>221500</v>
      </c>
      <c r="H42" s="28" t="s">
        <v>67</v>
      </c>
      <c r="I42" s="30" t="str">
        <f>IFERROR(VLOOKUP(A:A,'[1]2025'!$A:$W,23,0),"")</f>
        <v>20k S Wallet veya Mon veya SS x2 değerli (8 Mart) ✦ Geo kodsuz 9.230 TL pahalanacaktır ✦ 2-4T arası 4.700; Max. 11.750 TL indirim (25 Şub)</v>
      </c>
    </row>
    <row r="43" spans="1:9" ht="17.399999999999999" customHeight="1" x14ac:dyDescent="0.3">
      <c r="A43" s="28" t="s">
        <v>49</v>
      </c>
      <c r="B43" s="28"/>
      <c r="C43" s="29">
        <f>IFERROR(VLOOKUP(A:A,'0'!C:G,5,0),"0")</f>
        <v>2</v>
      </c>
      <c r="D43" s="25">
        <f t="shared" si="3"/>
        <v>191000</v>
      </c>
      <c r="E43" s="25">
        <f t="shared" si="4"/>
        <v>184250</v>
      </c>
      <c r="F43" s="25">
        <f t="shared" si="5"/>
        <v>177250</v>
      </c>
      <c r="G43" s="25">
        <f>IFERROR(VLOOKUP(A:A,'[1]2025'!$A:$O,15,0),"")</f>
        <v>172000</v>
      </c>
      <c r="H43" s="28" t="s">
        <v>67</v>
      </c>
      <c r="I43" s="30" t="str">
        <f>IFERROR(VLOOKUP(A:A,'[1]2025'!$A:$W,23,0),"")</f>
        <v>15k S Wallet veya Mon veya SS x2 değerli (8 Mart) ✦ Geo kodsuz 9.685 TL pahalanacaktır ✦ 2-4T arası 3.650; Max. 9.150 TL indirim (25 Şub)</v>
      </c>
    </row>
    <row r="44" spans="1:9" ht="17.399999999999999" customHeight="1" x14ac:dyDescent="0.3">
      <c r="A44" s="28" t="s">
        <v>50</v>
      </c>
      <c r="B44" s="28"/>
      <c r="C44" s="29">
        <f>IFERROR(VLOOKUP(A:A,'0'!C:G,5,0),"0")</f>
        <v>1</v>
      </c>
      <c r="D44" s="25">
        <f t="shared" si="3"/>
        <v>235500</v>
      </c>
      <c r="E44" s="25">
        <f t="shared" si="4"/>
        <v>227250</v>
      </c>
      <c r="F44" s="25">
        <f t="shared" si="5"/>
        <v>218500</v>
      </c>
      <c r="G44" s="25">
        <f>IFERROR(VLOOKUP(A:A,'[1]2025'!$A:$O,15,0),"")</f>
        <v>212000</v>
      </c>
      <c r="H44" s="28" t="s">
        <v>67</v>
      </c>
      <c r="I44" s="30" t="str">
        <f>IFERROR(VLOOKUP(A:A,'[1]2025'!$A:$W,23,0),"")</f>
        <v>20k S Wallet veya Mon veya SS x2 değerli (8 Mart) ✦ Geo kodsuz 9.710 TL pahalanacaktır ✦ 2-4T arası 4.500; Max. 11.250 TL indirim (25 Şub)</v>
      </c>
    </row>
    <row r="45" spans="1:9" ht="17.399999999999999" customHeight="1" x14ac:dyDescent="0.3">
      <c r="A45" s="28" t="s">
        <v>51</v>
      </c>
      <c r="B45" s="28"/>
      <c r="C45" s="29">
        <f>IFERROR(VLOOKUP(A:A,'0'!C:G,5,0),"0")</f>
        <v>1</v>
      </c>
      <c r="D45" s="25" t="str">
        <f t="shared" si="3"/>
        <v/>
      </c>
      <c r="E45" s="25" t="str">
        <f t="shared" si="4"/>
        <v/>
      </c>
      <c r="F45" s="25" t="str">
        <f t="shared" si="5"/>
        <v/>
      </c>
      <c r="G45" s="25" t="str">
        <f>IFERROR(VLOOKUP(A:A,'[1]2025'!$A:$O,15,0),"")</f>
        <v/>
      </c>
      <c r="H45" s="28" t="s">
        <v>67</v>
      </c>
      <c r="I45" s="30" t="str">
        <f>IFERROR(VLOOKUP(A:A,'[1]2025'!$A:$W,23,0),"")</f>
        <v/>
      </c>
    </row>
    <row r="46" spans="1:9" ht="17.399999999999999" customHeight="1" x14ac:dyDescent="0.3">
      <c r="A46" s="28" t="s">
        <v>52</v>
      </c>
      <c r="B46" s="28"/>
      <c r="C46" s="29">
        <f>IFERROR(VLOOKUP(A:A,'0'!C:G,5,0),"0")</f>
        <v>1</v>
      </c>
      <c r="D46" s="25" t="str">
        <f t="shared" si="3"/>
        <v/>
      </c>
      <c r="E46" s="25" t="str">
        <f t="shared" si="4"/>
        <v/>
      </c>
      <c r="F46" s="25" t="str">
        <f t="shared" si="5"/>
        <v/>
      </c>
      <c r="G46" s="25" t="str">
        <f>IFERROR(VLOOKUP(A:A,'[1]2025'!$A:$O,15,0),"")</f>
        <v/>
      </c>
      <c r="H46" s="28" t="s">
        <v>67</v>
      </c>
      <c r="I46" s="30" t="str">
        <f>IFERROR(VLOOKUP(A:A,'[1]2025'!$A:$W,23,0),"")</f>
        <v/>
      </c>
    </row>
    <row r="47" spans="1:9" ht="17.399999999999999" customHeight="1" x14ac:dyDescent="0.3">
      <c r="A47" s="28" t="s">
        <v>53</v>
      </c>
      <c r="B47" s="28"/>
      <c r="C47" s="29" t="str">
        <f>IFERROR(VLOOKUP(A:A,'0'!C:G,5,0),"0")</f>
        <v>0</v>
      </c>
      <c r="D47" s="25" t="str">
        <f t="shared" si="3"/>
        <v/>
      </c>
      <c r="E47" s="25" t="str">
        <f t="shared" si="4"/>
        <v/>
      </c>
      <c r="F47" s="25" t="str">
        <f t="shared" si="5"/>
        <v/>
      </c>
      <c r="G47" s="25" t="str">
        <f>IFERROR(VLOOKUP(A:A,'[1]2025'!$A:$O,15,0),"")</f>
        <v/>
      </c>
      <c r="H47" s="28" t="s">
        <v>67</v>
      </c>
      <c r="I47" s="30" t="str">
        <f>IFERROR(VLOOKUP(A:A,'[1]2025'!$A:$W,23,0),"")</f>
        <v/>
      </c>
    </row>
    <row r="48" spans="1:9" ht="17.399999999999999" customHeight="1" x14ac:dyDescent="0.3">
      <c r="A48" s="28" t="s">
        <v>54</v>
      </c>
      <c r="B48" s="28"/>
      <c r="C48" s="29" t="str">
        <f>IFERROR(VLOOKUP(A:A,'0'!C:G,5,0),"0")</f>
        <v>0</v>
      </c>
      <c r="D48" s="25" t="str">
        <f t="shared" si="3"/>
        <v/>
      </c>
      <c r="E48" s="25" t="str">
        <f t="shared" si="4"/>
        <v/>
      </c>
      <c r="F48" s="25" t="str">
        <f t="shared" si="5"/>
        <v/>
      </c>
      <c r="G48" s="25" t="str">
        <f>IFERROR(VLOOKUP(A:A,'[1]2025'!$A:$O,15,0),"")</f>
        <v/>
      </c>
      <c r="H48" s="28" t="s">
        <v>67</v>
      </c>
      <c r="I48" s="30" t="str">
        <f>IFERROR(VLOOKUP(A:A,'[1]2025'!$A:$W,23,0),"")</f>
        <v/>
      </c>
    </row>
    <row r="49" spans="1:9" ht="17.399999999999999" customHeight="1" x14ac:dyDescent="0.3">
      <c r="A49" s="28" t="s">
        <v>55</v>
      </c>
      <c r="B49" s="28"/>
      <c r="C49" s="29">
        <f>IFERROR(VLOOKUP(A:A,'0'!C:G,5,0),"0")</f>
        <v>3</v>
      </c>
      <c r="D49" s="25">
        <f t="shared" si="3"/>
        <v>7250</v>
      </c>
      <c r="E49" s="25">
        <f t="shared" si="4"/>
        <v>7000</v>
      </c>
      <c r="F49" s="25">
        <f t="shared" si="5"/>
        <v>6750</v>
      </c>
      <c r="G49" s="25">
        <f>IFERROR(VLOOKUP(A:A,'[1]2025'!$A:$O,15,0),"")</f>
        <v>6500</v>
      </c>
      <c r="H49" s="28" t="s">
        <v>67</v>
      </c>
      <c r="I49" s="30" t="str">
        <f>IFERROR(VLOOKUP(A:A,'[1]2025'!$A:$W,23,0),"")</f>
        <v>Geo kodsuz 2.200 TL pahalanacaktır</v>
      </c>
    </row>
    <row r="50" spans="1:9" ht="17.399999999999999" customHeight="1" x14ac:dyDescent="0.3">
      <c r="A50" s="28" t="s">
        <v>56</v>
      </c>
      <c r="B50" s="28"/>
      <c r="C50" s="29">
        <f>IFERROR(VLOOKUP(A:A,'0'!C:G,5,0),"0")</f>
        <v>2</v>
      </c>
      <c r="D50" s="25" t="str">
        <f t="shared" si="3"/>
        <v/>
      </c>
      <c r="E50" s="25" t="str">
        <f t="shared" si="4"/>
        <v/>
      </c>
      <c r="F50" s="25" t="str">
        <f t="shared" si="5"/>
        <v/>
      </c>
      <c r="G50" s="25" t="str">
        <f>IFERROR(VLOOKUP(A:A,'[1]2025'!$A:$O,15,0),"")</f>
        <v/>
      </c>
      <c r="H50" s="28" t="s">
        <v>67</v>
      </c>
      <c r="I50" s="30" t="str">
        <f>IFERROR(VLOOKUP(A:A,'[1]2025'!$A:$W,23,0),"")</f>
        <v/>
      </c>
    </row>
    <row r="51" spans="1:9" ht="17.399999999999999" customHeight="1" x14ac:dyDescent="0.3">
      <c r="A51" s="28" t="s">
        <v>57</v>
      </c>
      <c r="B51" s="28"/>
      <c r="C51" s="29">
        <f>IFERROR(VLOOKUP(A:A,'0'!C:G,5,0),"0")</f>
        <v>1</v>
      </c>
      <c r="D51" s="25" t="str">
        <f t="shared" si="3"/>
        <v/>
      </c>
      <c r="E51" s="25" t="str">
        <f t="shared" si="4"/>
        <v/>
      </c>
      <c r="F51" s="25" t="str">
        <f t="shared" si="5"/>
        <v/>
      </c>
      <c r="G51" s="25" t="str">
        <f>IFERROR(VLOOKUP(A:A,'[1]2025'!$A:$O,15,0),"")</f>
        <v/>
      </c>
      <c r="H51" s="28" t="s">
        <v>67</v>
      </c>
      <c r="I51" s="30" t="str">
        <f>IFERROR(VLOOKUP(A:A,'[1]2025'!$A:$W,23,0),"")</f>
        <v/>
      </c>
    </row>
    <row r="52" spans="1:9" ht="17.399999999999999" customHeight="1" x14ac:dyDescent="0.3">
      <c r="A52" s="28" t="s">
        <v>58</v>
      </c>
      <c r="B52" s="28"/>
      <c r="C52" s="29">
        <f>IFERROR(VLOOKUP(A:A,'0'!C:G,5,0),"0")</f>
        <v>1</v>
      </c>
      <c r="D52" s="25" t="str">
        <f t="shared" si="3"/>
        <v/>
      </c>
      <c r="E52" s="25" t="str">
        <f t="shared" si="4"/>
        <v/>
      </c>
      <c r="F52" s="25" t="str">
        <f t="shared" si="5"/>
        <v/>
      </c>
      <c r="G52" s="25" t="str">
        <f>IFERROR(VLOOKUP(A:A,'[1]2025'!$A:$O,15,0),"")</f>
        <v/>
      </c>
      <c r="H52" s="28" t="s">
        <v>67</v>
      </c>
      <c r="I52" s="30" t="str">
        <f>IFERROR(VLOOKUP(A:A,'[1]2025'!$A:$W,23,0),"")</f>
        <v/>
      </c>
    </row>
    <row r="53" spans="1:9" ht="17.399999999999999" customHeight="1" x14ac:dyDescent="0.3">
      <c r="A53" s="28" t="s">
        <v>59</v>
      </c>
      <c r="B53" s="28"/>
      <c r="C53" s="29">
        <f>IFERROR(VLOOKUP(A:A,'0'!C:G,5,0),"0")</f>
        <v>2</v>
      </c>
      <c r="D53" s="25">
        <f t="shared" si="3"/>
        <v>14000</v>
      </c>
      <c r="E53" s="25">
        <f t="shared" si="4"/>
        <v>13500</v>
      </c>
      <c r="F53" s="25">
        <f t="shared" si="5"/>
        <v>13000</v>
      </c>
      <c r="G53" s="25">
        <f>IFERROR(VLOOKUP(A:A,'[1]2025'!$A:$O,15,0),"")</f>
        <v>12500</v>
      </c>
      <c r="H53" s="28" t="s">
        <v>67</v>
      </c>
      <c r="I53" s="30" t="str">
        <f>IFERROR(VLOOKUP(A:A,'[1]2025'!$A:$W,23,0),"")</f>
        <v xml:space="preserve">Geo alınmayabilir ✦ 4K Monitör 60 Hz 300 (cd/m2) Parlaklık  4 ms Tepki Süresi </v>
      </c>
    </row>
    <row r="54" spans="1:9" ht="17.399999999999999" customHeight="1" x14ac:dyDescent="0.3">
      <c r="A54" s="28" t="s">
        <v>60</v>
      </c>
      <c r="B54" s="28"/>
      <c r="C54" s="29" t="str">
        <f>IFERROR(VLOOKUP(A:A,'0'!C:G,5,0),"0")</f>
        <v>0</v>
      </c>
      <c r="D54" s="25" t="str">
        <f t="shared" si="3"/>
        <v/>
      </c>
      <c r="E54" s="25" t="str">
        <f t="shared" si="4"/>
        <v/>
      </c>
      <c r="F54" s="25" t="str">
        <f t="shared" si="5"/>
        <v/>
      </c>
      <c r="G54" s="25" t="str">
        <f>IFERROR(VLOOKUP(A:A,'[1]2025'!$A:$O,15,0),"")</f>
        <v/>
      </c>
      <c r="H54" s="28" t="s">
        <v>67</v>
      </c>
      <c r="I54" s="30" t="str">
        <f>IFERROR(VLOOKUP(A:A,'[1]2025'!$A:$W,23,0),"")</f>
        <v/>
      </c>
    </row>
    <row r="55" spans="1:9" ht="17.399999999999999" customHeight="1" x14ac:dyDescent="0.3">
      <c r="A55" s="28" t="s">
        <v>61</v>
      </c>
      <c r="B55" s="28"/>
      <c r="C55" s="29">
        <f>IFERROR(VLOOKUP(A:A,'0'!C:G,5,0),"0")</f>
        <v>4</v>
      </c>
      <c r="D55" s="25">
        <f t="shared" si="3"/>
        <v>8250</v>
      </c>
      <c r="E55" s="25">
        <f t="shared" si="4"/>
        <v>8000</v>
      </c>
      <c r="F55" s="25">
        <f t="shared" si="5"/>
        <v>7750</v>
      </c>
      <c r="G55" s="25">
        <f>IFERROR(VLOOKUP(A:A,'[1]2025'!$A:$O,15,0),"")</f>
        <v>7500</v>
      </c>
      <c r="H55" s="28" t="s">
        <v>67</v>
      </c>
      <c r="I55" s="30" t="str">
        <f>IFERROR(VLOOKUP(A:A,'[1]2025'!$A:$W,23,0),"")</f>
        <v>Geo alınmayabilir ✦ Endüstriyel Monitör'dür. Mağazada kullanılmaktadır.</v>
      </c>
    </row>
    <row r="56" spans="1:9" ht="17.399999999999999" customHeight="1" x14ac:dyDescent="0.3">
      <c r="A56" s="28" t="s">
        <v>62</v>
      </c>
      <c r="B56" s="28"/>
      <c r="C56" s="29">
        <f>IFERROR(VLOOKUP(A:A,'0'!C:G,5,0),"0")</f>
        <v>3</v>
      </c>
      <c r="D56" s="25">
        <f t="shared" si="3"/>
        <v>850</v>
      </c>
      <c r="E56" s="25">
        <f t="shared" si="4"/>
        <v>800</v>
      </c>
      <c r="F56" s="25">
        <f t="shared" si="5"/>
        <v>750</v>
      </c>
      <c r="G56" s="25">
        <f>IFERROR(VLOOKUP(A:A,'[1]2025'!$A:$O,15,0),"")</f>
        <v>750</v>
      </c>
      <c r="H56" s="28" t="s">
        <v>67</v>
      </c>
      <c r="I56" s="30" t="str">
        <f>IFERROR(VLOOKUP(A:A,'[1]2025'!$A:$W,23,0),"")</f>
        <v>Geo alınmayabilir ✦ Evolution Kit</v>
      </c>
    </row>
    <row r="57" spans="1:9" ht="17.399999999999999" customHeight="1" x14ac:dyDescent="0.3">
      <c r="A57" s="28" t="s">
        <v>63</v>
      </c>
      <c r="B57" s="28"/>
      <c r="C57" s="29">
        <f>IFERROR(VLOOKUP(A:A,'0'!C:G,5,0),"0")</f>
        <v>3</v>
      </c>
      <c r="D57" s="25">
        <f t="shared" si="3"/>
        <v>2800</v>
      </c>
      <c r="E57" s="25">
        <f t="shared" si="4"/>
        <v>2700</v>
      </c>
      <c r="F57" s="25">
        <f t="shared" si="5"/>
        <v>2600</v>
      </c>
      <c r="G57" s="25">
        <f>IFERROR(VLOOKUP(A:A,'[1]2025'!$A:$O,15,0),"")</f>
        <v>2500</v>
      </c>
      <c r="H57" s="28" t="s">
        <v>67</v>
      </c>
      <c r="I57" s="30" t="str">
        <f>IFERROR(VLOOKUP(A:A,'[1]2025'!$A:$W,23,0),"")</f>
        <v>Geo alınmayabilir ✦ Frame Tv ile çıkılmalıdır</v>
      </c>
    </row>
    <row r="58" spans="1:9" ht="17.399999999999999" customHeight="1" x14ac:dyDescent="0.3">
      <c r="A58" s="28" t="s">
        <v>64</v>
      </c>
      <c r="B58" s="28"/>
      <c r="C58" s="29">
        <f>IFERROR(VLOOKUP(A:A,'0'!C:G,5,0),"0")</f>
        <v>2</v>
      </c>
      <c r="D58" s="25" t="str">
        <f t="shared" si="3"/>
        <v/>
      </c>
      <c r="E58" s="25" t="str">
        <f t="shared" si="4"/>
        <v/>
      </c>
      <c r="F58" s="25" t="str">
        <f t="shared" si="5"/>
        <v/>
      </c>
      <c r="G58" s="25" t="str">
        <f>IFERROR(VLOOKUP(A:A,'[1]2025'!$A:$O,15,0),"")</f>
        <v/>
      </c>
      <c r="H58" s="28" t="s">
        <v>67</v>
      </c>
      <c r="I58" s="30" t="str">
        <f>IFERROR(VLOOKUP(A:A,'[1]2025'!$A:$W,23,0),"")</f>
        <v/>
      </c>
    </row>
    <row r="59" spans="1:9" ht="17.399999999999999" customHeight="1" x14ac:dyDescent="0.3">
      <c r="A59" s="28" t="s">
        <v>65</v>
      </c>
      <c r="B59" s="28"/>
      <c r="C59" s="29">
        <f>IFERROR(VLOOKUP(A:A,'0'!C:G,5,0),"0")</f>
        <v>2</v>
      </c>
      <c r="D59" s="25">
        <f t="shared" si="3"/>
        <v>3800</v>
      </c>
      <c r="E59" s="25">
        <f t="shared" si="4"/>
        <v>3600</v>
      </c>
      <c r="F59" s="25">
        <f t="shared" si="5"/>
        <v>3500</v>
      </c>
      <c r="G59" s="25">
        <f>IFERROR(VLOOKUP(A:A,'[1]2025'!$A:$O,15,0),"")</f>
        <v>3400</v>
      </c>
      <c r="H59" s="28" t="s">
        <v>67</v>
      </c>
      <c r="I59" s="30" t="str">
        <f>IFERROR(VLOOKUP(A:A,'[1]2025'!$A:$W,23,0),"")</f>
        <v>Geo alınmayabilir ✦ Frame Tv ile çıkılmalıdır</v>
      </c>
    </row>
    <row r="60" spans="1:9" ht="17.399999999999999" customHeight="1" x14ac:dyDescent="0.3">
      <c r="A60" s="28" t="s">
        <v>66</v>
      </c>
      <c r="B60" s="28"/>
      <c r="C60" s="29">
        <f>IFERROR(VLOOKUP(A:A,'0'!C:G,5,0),"0")</f>
        <v>2</v>
      </c>
      <c r="D60" s="25">
        <f t="shared" si="3"/>
        <v>3800</v>
      </c>
      <c r="E60" s="25">
        <f t="shared" si="4"/>
        <v>3600</v>
      </c>
      <c r="F60" s="25">
        <f t="shared" si="5"/>
        <v>3500</v>
      </c>
      <c r="G60" s="25">
        <f>IFERROR(VLOOKUP(A:A,'[1]2025'!$A:$O,15,0),"")</f>
        <v>3400</v>
      </c>
      <c r="H60" s="28" t="s">
        <v>67</v>
      </c>
      <c r="I60" s="30" t="str">
        <f>IFERROR(VLOOKUP(A:A,'[1]2025'!$A:$W,23,0),"")</f>
        <v>Geo alınmayabilir ✦ Frame Tv ile çıkılmalıdır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53290-FE11-4A84-8DF5-A345A4C5745B}">
  <sheetPr codeName="Sayfa3"/>
  <dimension ref="A1:C14"/>
  <sheetViews>
    <sheetView workbookViewId="0">
      <selection activeCell="E18" sqref="E18"/>
    </sheetView>
  </sheetViews>
  <sheetFormatPr defaultRowHeight="14.4" x14ac:dyDescent="0.3"/>
  <cols>
    <col min="1" max="1" width="31.44140625" bestFit="1" customWidth="1"/>
  </cols>
  <sheetData>
    <row r="1" spans="1:3" x14ac:dyDescent="0.3">
      <c r="A1" s="31" t="s">
        <v>1884</v>
      </c>
      <c r="B1" s="31" t="s">
        <v>1885</v>
      </c>
      <c r="C1" s="31" t="s">
        <v>1886</v>
      </c>
    </row>
    <row r="2" spans="1:3" x14ac:dyDescent="0.3">
      <c r="A2" s="32" t="s">
        <v>1887</v>
      </c>
      <c r="B2" s="32" t="str">
        <f>CONCATENATE("Ay.",MID(A2,1,3),LEN(A2))</f>
        <v>Ay.bil18</v>
      </c>
      <c r="C2" s="32"/>
    </row>
    <row r="3" spans="1:3" x14ac:dyDescent="0.3">
      <c r="A3" s="32" t="s">
        <v>1888</v>
      </c>
      <c r="B3" s="32" t="str">
        <f t="shared" ref="B3:B14" si="0">CONCATENATE("Ay.",MID(A3,1,3),LEN(A3))</f>
        <v>Ay.ahm23</v>
      </c>
      <c r="C3" s="32"/>
    </row>
    <row r="4" spans="1:3" x14ac:dyDescent="0.3">
      <c r="A4" s="32" t="s">
        <v>1889</v>
      </c>
      <c r="B4" s="32" t="str">
        <f t="shared" si="0"/>
        <v>Ay.ayg18</v>
      </c>
      <c r="C4" s="32"/>
    </row>
    <row r="5" spans="1:3" x14ac:dyDescent="0.3">
      <c r="A5" s="32" t="s">
        <v>1890</v>
      </c>
      <c r="B5" s="32" t="str">
        <f t="shared" si="0"/>
        <v>Ay.fat18</v>
      </c>
      <c r="C5" s="32"/>
    </row>
    <row r="6" spans="1:3" x14ac:dyDescent="0.3">
      <c r="A6" s="32" t="s">
        <v>1891</v>
      </c>
      <c r="B6" s="32" t="str">
        <f t="shared" si="0"/>
        <v>Ay.fat24</v>
      </c>
      <c r="C6" s="32"/>
    </row>
    <row r="7" spans="1:3" x14ac:dyDescent="0.3">
      <c r="A7" s="32" t="s">
        <v>1892</v>
      </c>
      <c r="B7" s="32" t="str">
        <f t="shared" si="0"/>
        <v>Ay.gul25</v>
      </c>
      <c r="C7" s="32"/>
    </row>
    <row r="8" spans="1:3" x14ac:dyDescent="0.3">
      <c r="A8" s="32" t="s">
        <v>1893</v>
      </c>
      <c r="B8" s="32" t="str">
        <f t="shared" si="0"/>
        <v>Ay.ism25</v>
      </c>
      <c r="C8" s="32"/>
    </row>
    <row r="9" spans="1:3" x14ac:dyDescent="0.3">
      <c r="A9" s="32" t="s">
        <v>1894</v>
      </c>
      <c r="B9" s="32" t="str">
        <f t="shared" si="0"/>
        <v>Ay.osm23</v>
      </c>
      <c r="C9" s="32"/>
    </row>
    <row r="10" spans="1:3" x14ac:dyDescent="0.3">
      <c r="A10" s="32" t="s">
        <v>1895</v>
      </c>
      <c r="B10" s="32" t="str">
        <f t="shared" si="0"/>
        <v>Ay.paz22</v>
      </c>
      <c r="C10" s="32"/>
    </row>
    <row r="11" spans="1:3" x14ac:dyDescent="0.3">
      <c r="A11" s="32" t="s">
        <v>1896</v>
      </c>
      <c r="B11" s="32" t="str">
        <f t="shared" si="0"/>
        <v>Ay.afa23</v>
      </c>
      <c r="C11" s="32"/>
    </row>
    <row r="12" spans="1:3" x14ac:dyDescent="0.3">
      <c r="A12" s="32" t="s">
        <v>1897</v>
      </c>
      <c r="B12" s="32" t="str">
        <f t="shared" si="0"/>
        <v>Ay.Emi26</v>
      </c>
      <c r="C12" s="32"/>
    </row>
    <row r="13" spans="1:3" x14ac:dyDescent="0.3">
      <c r="A13" s="32" t="s">
        <v>1898</v>
      </c>
      <c r="B13" s="32" t="str">
        <f t="shared" si="0"/>
        <v>Ay.atu31</v>
      </c>
      <c r="C13" s="32"/>
    </row>
    <row r="14" spans="1:3" x14ac:dyDescent="0.3">
      <c r="A14" s="32" t="s">
        <v>1899</v>
      </c>
      <c r="B14" s="32" t="str">
        <f t="shared" si="0"/>
        <v>Ay.der24</v>
      </c>
      <c r="C14" s="3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DFF38-1EAE-4201-A9BA-F0F28FC2A163}">
  <sheetPr codeName="Sayfa2"/>
  <dimension ref="A1:R885"/>
  <sheetViews>
    <sheetView zoomScale="85" zoomScaleNormal="85" workbookViewId="0">
      <pane xSplit="2" ySplit="1" topLeftCell="C107" activePane="bottomRight" state="frozen"/>
      <selection pane="topRight" activeCell="C1" sqref="C1"/>
      <selection pane="bottomLeft" activeCell="A2" sqref="A2"/>
      <selection pane="bottomRight" activeCell="E131" sqref="E131"/>
    </sheetView>
  </sheetViews>
  <sheetFormatPr defaultRowHeight="14.4" x14ac:dyDescent="0.3"/>
  <cols>
    <col min="1" max="1" width="9" style="14" bestFit="1" customWidth="1"/>
    <col min="2" max="2" width="1.44140625" style="8" customWidth="1"/>
    <col min="3" max="3" width="16.109375" style="15" bestFit="1" customWidth="1"/>
    <col min="4" max="4" width="12.88671875" style="16" bestFit="1" customWidth="1"/>
    <col min="5" max="5" width="39" style="14" bestFit="1" customWidth="1"/>
    <col min="6" max="6" width="47" style="17" bestFit="1" customWidth="1"/>
    <col min="7" max="7" width="7.88671875" style="18" customWidth="1"/>
    <col min="8" max="8" width="7.88671875" style="19" customWidth="1"/>
    <col min="9" max="9" width="7.88671875" style="18" customWidth="1"/>
    <col min="10" max="10" width="7.88671875" style="8" customWidth="1"/>
    <col min="11" max="11" width="8.88671875" style="14"/>
    <col min="12" max="12" width="20" style="14" customWidth="1"/>
    <col min="13" max="13" width="8.88671875" style="20"/>
    <col min="14" max="14" width="18.21875" style="14" customWidth="1"/>
    <col min="15" max="15" width="1.21875" style="12" customWidth="1"/>
    <col min="16" max="16" width="10.109375" hidden="1" customWidth="1"/>
    <col min="17" max="17" width="6" hidden="1" customWidth="1"/>
    <col min="18" max="18" width="17.77734375" customWidth="1"/>
  </cols>
  <sheetData>
    <row r="1" spans="1:18" ht="15" thickBot="1" x14ac:dyDescent="0.35">
      <c r="A1" s="3" t="s">
        <v>68</v>
      </c>
      <c r="B1" s="3" t="s">
        <v>69</v>
      </c>
      <c r="C1" s="4" t="s">
        <v>70</v>
      </c>
      <c r="D1" s="4" t="s">
        <v>71</v>
      </c>
      <c r="E1" s="3" t="s">
        <v>72</v>
      </c>
      <c r="F1" s="3" t="s">
        <v>73</v>
      </c>
      <c r="G1" s="3" t="s">
        <v>74</v>
      </c>
      <c r="H1" s="3" t="s">
        <v>75</v>
      </c>
      <c r="I1" s="3" t="s">
        <v>76</v>
      </c>
      <c r="J1" s="3" t="s">
        <v>77</v>
      </c>
      <c r="K1" s="3" t="s">
        <v>78</v>
      </c>
      <c r="L1" s="3" t="s">
        <v>79</v>
      </c>
      <c r="M1" s="3" t="s">
        <v>80</v>
      </c>
      <c r="N1" s="3" t="s">
        <v>81</v>
      </c>
      <c r="O1" s="5"/>
      <c r="P1" s="6"/>
      <c r="Q1" s="6"/>
      <c r="R1" s="7" t="str">
        <f>CONCATENATE(COUNTA(A:A)-2," Sıra ",TEXT(SUM(G:G)-SUM(I:I),"#.##0")," Adet")</f>
        <v>705 Sıra 4.480 Adet</v>
      </c>
    </row>
    <row r="2" spans="1:18" ht="15" thickTop="1" x14ac:dyDescent="0.3">
      <c r="A2" s="8" t="s">
        <v>82</v>
      </c>
      <c r="B2" s="8" t="s">
        <v>83</v>
      </c>
      <c r="C2" s="9" t="s">
        <v>84</v>
      </c>
      <c r="D2" s="10" t="s">
        <v>85</v>
      </c>
      <c r="E2" s="8" t="s">
        <v>86</v>
      </c>
      <c r="F2" s="8" t="s">
        <v>87</v>
      </c>
      <c r="G2" s="11" t="s">
        <v>88</v>
      </c>
      <c r="H2" s="11" t="s">
        <v>89</v>
      </c>
      <c r="I2" s="11" t="s">
        <v>90</v>
      </c>
      <c r="J2" s="8" t="s">
        <v>91</v>
      </c>
      <c r="K2" s="8" t="s">
        <v>92</v>
      </c>
      <c r="L2" s="8" t="s">
        <v>93</v>
      </c>
      <c r="M2" s="8" t="s">
        <v>94</v>
      </c>
      <c r="N2" s="8" t="s">
        <v>95</v>
      </c>
      <c r="P2" s="12"/>
      <c r="Q2" s="12"/>
      <c r="R2" s="13"/>
    </row>
    <row r="3" spans="1:18" x14ac:dyDescent="0.3">
      <c r="A3" s="14">
        <v>4962</v>
      </c>
      <c r="B3" s="8" t="s">
        <v>96</v>
      </c>
      <c r="C3" s="15" t="s">
        <v>97</v>
      </c>
      <c r="D3" s="16">
        <v>8710103900702</v>
      </c>
      <c r="E3" s="14" t="s">
        <v>98</v>
      </c>
      <c r="F3" s="17" t="s">
        <v>99</v>
      </c>
      <c r="G3" s="18">
        <v>3</v>
      </c>
      <c r="H3" s="19">
        <v>0</v>
      </c>
      <c r="I3" s="18">
        <v>0</v>
      </c>
      <c r="J3" s="8" t="s">
        <v>100</v>
      </c>
      <c r="K3" s="14">
        <v>1199</v>
      </c>
      <c r="L3" s="14" t="s">
        <v>101</v>
      </c>
      <c r="M3" s="20" t="s">
        <v>102</v>
      </c>
      <c r="N3" s="14" t="s">
        <v>103</v>
      </c>
      <c r="O3" s="12">
        <f t="shared" ref="O3:O66" si="0">IF(C3&gt;0,10-COUNTIF(AM3:AW3,"-"),"")</f>
        <v>10</v>
      </c>
      <c r="P3" t="str">
        <f t="shared" ref="P3:P67" si="1">IF(LEFT(C3,2)="SM",CONCATENATE(LEFT(C3,7),"✦",MID(C3,11,1)),LEFT(C3,9))</f>
        <v>BRE225/05</v>
      </c>
      <c r="Q3">
        <f t="shared" ref="Q3:Q66" si="2">G3-H3</f>
        <v>3</v>
      </c>
      <c r="R3" s="21"/>
    </row>
    <row r="4" spans="1:18" x14ac:dyDescent="0.3">
      <c r="A4" s="14">
        <v>4963</v>
      </c>
      <c r="B4" s="8" t="s">
        <v>96</v>
      </c>
      <c r="C4" s="15" t="s">
        <v>104</v>
      </c>
      <c r="E4" s="14" t="s">
        <v>105</v>
      </c>
      <c r="F4" s="17" t="s">
        <v>106</v>
      </c>
      <c r="G4" s="18">
        <v>9</v>
      </c>
      <c r="H4" s="19">
        <v>0</v>
      </c>
      <c r="I4" s="18">
        <v>0</v>
      </c>
      <c r="J4" s="8" t="s">
        <v>100</v>
      </c>
      <c r="K4" s="14">
        <v>1549</v>
      </c>
      <c r="L4" s="14" t="s">
        <v>101</v>
      </c>
      <c r="M4" s="20" t="s">
        <v>102</v>
      </c>
      <c r="N4" s="14" t="s">
        <v>103</v>
      </c>
      <c r="O4" s="12">
        <f t="shared" si="0"/>
        <v>10</v>
      </c>
      <c r="P4" t="str">
        <f t="shared" si="1"/>
        <v>BRE255/05</v>
      </c>
      <c r="Q4">
        <f t="shared" si="2"/>
        <v>9</v>
      </c>
      <c r="R4" s="21"/>
    </row>
    <row r="5" spans="1:18" x14ac:dyDescent="0.3">
      <c r="A5" s="14">
        <v>6646</v>
      </c>
      <c r="B5" s="8" t="s">
        <v>96</v>
      </c>
      <c r="C5" s="15" t="s">
        <v>107</v>
      </c>
      <c r="D5" s="16">
        <v>8710103936497</v>
      </c>
      <c r="E5" s="14" t="s">
        <v>108</v>
      </c>
      <c r="F5" s="17" t="s">
        <v>109</v>
      </c>
      <c r="G5" s="18">
        <v>2</v>
      </c>
      <c r="H5" s="19">
        <v>0</v>
      </c>
      <c r="I5" s="18">
        <v>0</v>
      </c>
      <c r="J5" s="8" t="s">
        <v>100</v>
      </c>
      <c r="K5" s="14">
        <v>2399</v>
      </c>
      <c r="L5" s="14" t="s">
        <v>101</v>
      </c>
      <c r="M5" s="20" t="s">
        <v>102</v>
      </c>
      <c r="N5" s="14" t="s">
        <v>103</v>
      </c>
      <c r="O5" s="12">
        <f t="shared" si="0"/>
        <v>10</v>
      </c>
      <c r="P5" t="str">
        <f t="shared" si="1"/>
        <v>BRE700/05</v>
      </c>
      <c r="Q5">
        <f t="shared" si="2"/>
        <v>2</v>
      </c>
      <c r="R5" s="21"/>
    </row>
    <row r="6" spans="1:18" x14ac:dyDescent="0.3">
      <c r="A6" s="14">
        <v>7121</v>
      </c>
      <c r="B6" s="8" t="s">
        <v>96</v>
      </c>
      <c r="C6" s="15" t="s">
        <v>110</v>
      </c>
      <c r="D6" s="16">
        <v>8806095725536</v>
      </c>
      <c r="E6" s="14" t="s">
        <v>111</v>
      </c>
      <c r="F6" s="17" t="s">
        <v>112</v>
      </c>
      <c r="G6" s="18">
        <v>4</v>
      </c>
      <c r="H6" s="19">
        <v>3</v>
      </c>
      <c r="I6" s="18">
        <v>0</v>
      </c>
      <c r="J6" s="8" t="s">
        <v>100</v>
      </c>
      <c r="K6" s="14">
        <v>58399</v>
      </c>
      <c r="L6" s="14" t="s">
        <v>113</v>
      </c>
      <c r="M6" s="20" t="s">
        <v>114</v>
      </c>
      <c r="N6" s="14" t="s">
        <v>115</v>
      </c>
      <c r="O6" s="12">
        <f t="shared" si="0"/>
        <v>10</v>
      </c>
      <c r="P6" t="str">
        <f t="shared" si="1"/>
        <v>DW60DB890</v>
      </c>
      <c r="Q6">
        <f t="shared" si="2"/>
        <v>1</v>
      </c>
      <c r="R6" s="21"/>
    </row>
    <row r="7" spans="1:18" x14ac:dyDescent="0.3">
      <c r="A7" s="14">
        <v>7023</v>
      </c>
      <c r="B7" s="8" t="s">
        <v>96</v>
      </c>
      <c r="C7" s="15" t="s">
        <v>116</v>
      </c>
      <c r="D7" s="16">
        <v>8806095533704</v>
      </c>
      <c r="E7" s="14" t="s">
        <v>117</v>
      </c>
      <c r="F7" s="17" t="s">
        <v>118</v>
      </c>
      <c r="G7" s="18">
        <v>3</v>
      </c>
      <c r="H7" s="19">
        <v>1</v>
      </c>
      <c r="I7" s="18">
        <v>0</v>
      </c>
      <c r="J7" s="8" t="s">
        <v>100</v>
      </c>
      <c r="K7" s="14">
        <v>26299</v>
      </c>
      <c r="L7" s="14" t="s">
        <v>113</v>
      </c>
      <c r="M7" s="20" t="s">
        <v>114</v>
      </c>
      <c r="N7" s="14" t="s">
        <v>115</v>
      </c>
      <c r="O7" s="12">
        <f t="shared" si="0"/>
        <v>10</v>
      </c>
      <c r="P7" t="str">
        <f t="shared" si="1"/>
        <v>DW60DG550</v>
      </c>
      <c r="Q7">
        <f t="shared" si="2"/>
        <v>2</v>
      </c>
      <c r="R7" s="21"/>
    </row>
    <row r="8" spans="1:18" x14ac:dyDescent="0.3">
      <c r="A8" s="14">
        <v>7428</v>
      </c>
      <c r="B8" s="8" t="s">
        <v>96</v>
      </c>
      <c r="C8" s="15" t="s">
        <v>119</v>
      </c>
      <c r="D8" s="16">
        <v>8806095534756</v>
      </c>
      <c r="E8" s="14" t="s">
        <v>120</v>
      </c>
      <c r="F8" s="17" t="s">
        <v>121</v>
      </c>
      <c r="G8" s="18">
        <v>4</v>
      </c>
      <c r="H8" s="19">
        <v>4</v>
      </c>
      <c r="I8" s="18">
        <v>0</v>
      </c>
      <c r="J8" s="8" t="s">
        <v>100</v>
      </c>
      <c r="K8" s="14">
        <v>16500</v>
      </c>
      <c r="L8" s="14" t="s">
        <v>122</v>
      </c>
      <c r="M8" s="20" t="s">
        <v>114</v>
      </c>
      <c r="N8" s="14" t="s">
        <v>115</v>
      </c>
      <c r="O8" s="12">
        <f t="shared" si="0"/>
        <v>10</v>
      </c>
      <c r="P8" t="str">
        <f t="shared" si="1"/>
        <v>NK24C5070</v>
      </c>
      <c r="Q8">
        <f t="shared" si="2"/>
        <v>0</v>
      </c>
      <c r="R8" s="21"/>
    </row>
    <row r="9" spans="1:18" x14ac:dyDescent="0.3">
      <c r="A9" s="14">
        <v>6964</v>
      </c>
      <c r="B9" s="8" t="s">
        <v>96</v>
      </c>
      <c r="C9" s="15" t="s">
        <v>123</v>
      </c>
      <c r="D9" s="16">
        <v>8806095534770</v>
      </c>
      <c r="E9" s="14" t="s">
        <v>124</v>
      </c>
      <c r="F9" s="17" t="s">
        <v>125</v>
      </c>
      <c r="G9" s="18">
        <v>2</v>
      </c>
      <c r="H9" s="19">
        <v>2</v>
      </c>
      <c r="I9" s="18">
        <v>0</v>
      </c>
      <c r="J9" s="8" t="s">
        <v>100</v>
      </c>
      <c r="K9" s="14">
        <v>17849</v>
      </c>
      <c r="L9" s="14" t="s">
        <v>122</v>
      </c>
      <c r="M9" s="20" t="s">
        <v>114</v>
      </c>
      <c r="N9" s="14" t="s">
        <v>115</v>
      </c>
      <c r="O9" s="12">
        <f t="shared" si="0"/>
        <v>10</v>
      </c>
      <c r="P9" t="str">
        <f t="shared" si="1"/>
        <v>NK24C5070</v>
      </c>
      <c r="Q9">
        <f t="shared" si="2"/>
        <v>0</v>
      </c>
      <c r="R9" s="21"/>
    </row>
    <row r="10" spans="1:18" x14ac:dyDescent="0.3">
      <c r="A10" s="14">
        <v>6735</v>
      </c>
      <c r="B10" s="8" t="s">
        <v>96</v>
      </c>
      <c r="C10" s="15" t="s">
        <v>126</v>
      </c>
      <c r="D10" s="16">
        <v>8801643237080</v>
      </c>
      <c r="E10" s="14" t="s">
        <v>127</v>
      </c>
      <c r="F10" s="17" t="s">
        <v>128</v>
      </c>
      <c r="G10" s="18">
        <v>1</v>
      </c>
      <c r="H10" s="19">
        <v>0</v>
      </c>
      <c r="I10" s="18">
        <v>0</v>
      </c>
      <c r="J10" s="8" t="s">
        <v>100</v>
      </c>
      <c r="K10" s="14">
        <v>6399</v>
      </c>
      <c r="L10" s="14" t="s">
        <v>129</v>
      </c>
      <c r="M10" s="20" t="s">
        <v>114</v>
      </c>
      <c r="N10" s="14" t="s">
        <v>130</v>
      </c>
      <c r="O10" s="12">
        <f t="shared" si="0"/>
        <v>10</v>
      </c>
      <c r="P10" t="str">
        <f t="shared" si="1"/>
        <v>NK24M1030</v>
      </c>
      <c r="Q10">
        <f t="shared" si="2"/>
        <v>1</v>
      </c>
      <c r="R10" s="21"/>
    </row>
    <row r="11" spans="1:18" x14ac:dyDescent="0.3">
      <c r="A11" s="14">
        <v>5171</v>
      </c>
      <c r="B11" s="8" t="s">
        <v>96</v>
      </c>
      <c r="C11" s="15" t="s">
        <v>131</v>
      </c>
      <c r="D11" s="16">
        <v>8806088911175</v>
      </c>
      <c r="E11" s="14" t="s">
        <v>132</v>
      </c>
      <c r="F11" s="17" t="s">
        <v>133</v>
      </c>
      <c r="G11" s="18">
        <v>1</v>
      </c>
      <c r="H11" s="19">
        <v>1</v>
      </c>
      <c r="I11" s="18">
        <v>0</v>
      </c>
      <c r="J11" s="8" t="s">
        <v>100</v>
      </c>
      <c r="K11" s="14">
        <v>6399</v>
      </c>
      <c r="L11" s="14" t="s">
        <v>129</v>
      </c>
      <c r="M11" s="20" t="s">
        <v>114</v>
      </c>
      <c r="N11" s="14" t="s">
        <v>130</v>
      </c>
      <c r="O11" s="12">
        <f t="shared" si="0"/>
        <v>10</v>
      </c>
      <c r="P11" t="str">
        <f t="shared" si="1"/>
        <v>NK24M1030</v>
      </c>
      <c r="Q11">
        <f t="shared" si="2"/>
        <v>0</v>
      </c>
      <c r="R11" s="21"/>
    </row>
    <row r="12" spans="1:18" x14ac:dyDescent="0.3">
      <c r="A12" s="14">
        <v>5483</v>
      </c>
      <c r="B12" s="8" t="s">
        <v>96</v>
      </c>
      <c r="C12" s="15" t="s">
        <v>134</v>
      </c>
      <c r="D12" s="16">
        <v>8806088787671</v>
      </c>
      <c r="E12" s="14" t="s">
        <v>135</v>
      </c>
      <c r="F12" s="17" t="s">
        <v>136</v>
      </c>
      <c r="G12" s="18">
        <v>1</v>
      </c>
      <c r="H12" s="19">
        <v>0</v>
      </c>
      <c r="I12" s="18">
        <v>0</v>
      </c>
      <c r="J12" s="8" t="s">
        <v>100</v>
      </c>
      <c r="K12" s="14">
        <v>8049</v>
      </c>
      <c r="L12" s="14" t="s">
        <v>122</v>
      </c>
      <c r="M12" s="20" t="s">
        <v>114</v>
      </c>
      <c r="N12" s="14" t="s">
        <v>115</v>
      </c>
      <c r="O12" s="12">
        <f t="shared" si="0"/>
        <v>10</v>
      </c>
      <c r="P12" t="str">
        <f t="shared" si="1"/>
        <v>NK24M3050</v>
      </c>
      <c r="Q12">
        <f t="shared" si="2"/>
        <v>1</v>
      </c>
      <c r="R12" s="21"/>
    </row>
    <row r="13" spans="1:18" x14ac:dyDescent="0.3">
      <c r="A13" s="14">
        <v>4256</v>
      </c>
      <c r="B13" s="8" t="s">
        <v>96</v>
      </c>
      <c r="C13" s="15" t="s">
        <v>137</v>
      </c>
      <c r="D13" s="16">
        <v>8806088787688</v>
      </c>
      <c r="E13" s="14" t="s">
        <v>138</v>
      </c>
      <c r="F13" s="17" t="s">
        <v>139</v>
      </c>
      <c r="G13" s="18">
        <v>4</v>
      </c>
      <c r="H13" s="19">
        <v>3</v>
      </c>
      <c r="I13" s="18">
        <v>0</v>
      </c>
      <c r="J13" s="8" t="s">
        <v>100</v>
      </c>
      <c r="K13" s="14">
        <v>11699</v>
      </c>
      <c r="L13" s="14" t="s">
        <v>122</v>
      </c>
      <c r="M13" s="20" t="s">
        <v>114</v>
      </c>
      <c r="N13" s="14" t="s">
        <v>115</v>
      </c>
      <c r="O13" s="12">
        <f t="shared" si="0"/>
        <v>10</v>
      </c>
      <c r="P13" t="str">
        <f t="shared" si="1"/>
        <v>NK24M5060</v>
      </c>
      <c r="Q13">
        <f t="shared" si="2"/>
        <v>1</v>
      </c>
      <c r="R13" s="21"/>
    </row>
    <row r="14" spans="1:18" x14ac:dyDescent="0.3">
      <c r="A14" s="14">
        <v>4143</v>
      </c>
      <c r="B14" s="8" t="s">
        <v>96</v>
      </c>
      <c r="C14" s="15" t="s">
        <v>140</v>
      </c>
      <c r="D14" s="16">
        <v>8806088787695</v>
      </c>
      <c r="E14" s="14" t="s">
        <v>141</v>
      </c>
      <c r="F14" s="17" t="s">
        <v>142</v>
      </c>
      <c r="G14" s="18">
        <v>6</v>
      </c>
      <c r="H14" s="19">
        <v>4</v>
      </c>
      <c r="I14" s="18">
        <v>0</v>
      </c>
      <c r="J14" s="8" t="s">
        <v>100</v>
      </c>
      <c r="K14" s="14">
        <v>17499</v>
      </c>
      <c r="L14" s="14" t="s">
        <v>122</v>
      </c>
      <c r="M14" s="20" t="s">
        <v>114</v>
      </c>
      <c r="N14" s="14" t="s">
        <v>115</v>
      </c>
      <c r="O14" s="12">
        <f t="shared" si="0"/>
        <v>10</v>
      </c>
      <c r="P14" t="str">
        <f t="shared" si="1"/>
        <v>NK24M5070</v>
      </c>
      <c r="Q14">
        <f t="shared" si="2"/>
        <v>2</v>
      </c>
      <c r="R14" s="21"/>
    </row>
    <row r="15" spans="1:18" x14ac:dyDescent="0.3">
      <c r="A15" s="14">
        <v>4133</v>
      </c>
      <c r="B15" s="8" t="s">
        <v>96</v>
      </c>
      <c r="C15" s="15" t="s">
        <v>143</v>
      </c>
      <c r="D15" s="16">
        <v>8806088787701</v>
      </c>
      <c r="E15" s="14" t="s">
        <v>144</v>
      </c>
      <c r="F15" s="17" t="s">
        <v>145</v>
      </c>
      <c r="G15" s="18">
        <v>4</v>
      </c>
      <c r="H15" s="19">
        <v>3</v>
      </c>
      <c r="I15" s="18">
        <v>0</v>
      </c>
      <c r="J15" s="8" t="s">
        <v>100</v>
      </c>
      <c r="K15" s="14">
        <v>14649</v>
      </c>
      <c r="L15" s="14" t="s">
        <v>122</v>
      </c>
      <c r="M15" s="20" t="s">
        <v>114</v>
      </c>
      <c r="N15" s="14" t="s">
        <v>115</v>
      </c>
      <c r="O15" s="12">
        <f t="shared" si="0"/>
        <v>10</v>
      </c>
      <c r="P15" t="str">
        <f t="shared" si="1"/>
        <v>NK24M5070</v>
      </c>
      <c r="Q15">
        <f t="shared" si="2"/>
        <v>1</v>
      </c>
      <c r="R15" s="21"/>
    </row>
    <row r="16" spans="1:18" x14ac:dyDescent="0.3">
      <c r="A16" s="14">
        <v>4131</v>
      </c>
      <c r="B16" s="8" t="s">
        <v>96</v>
      </c>
      <c r="C16" s="15" t="s">
        <v>146</v>
      </c>
      <c r="D16" s="16">
        <v>8806088787718</v>
      </c>
      <c r="E16" s="14" t="s">
        <v>147</v>
      </c>
      <c r="F16" s="17" t="s">
        <v>148</v>
      </c>
      <c r="G16" s="18">
        <v>6</v>
      </c>
      <c r="H16" s="19">
        <v>5</v>
      </c>
      <c r="I16" s="18">
        <v>0</v>
      </c>
      <c r="J16" s="8" t="s">
        <v>100</v>
      </c>
      <c r="K16" s="14">
        <v>16549</v>
      </c>
      <c r="L16" s="14" t="s">
        <v>122</v>
      </c>
      <c r="M16" s="20" t="s">
        <v>114</v>
      </c>
      <c r="N16" s="14" t="s">
        <v>115</v>
      </c>
      <c r="O16" s="12">
        <f t="shared" si="0"/>
        <v>10</v>
      </c>
      <c r="P16" t="str">
        <f t="shared" si="1"/>
        <v>NK24M5070</v>
      </c>
      <c r="Q16">
        <f t="shared" si="2"/>
        <v>1</v>
      </c>
      <c r="R16" s="21"/>
    </row>
    <row r="17" spans="1:18" x14ac:dyDescent="0.3">
      <c r="A17" s="14">
        <v>4254</v>
      </c>
      <c r="B17" s="8" t="s">
        <v>96</v>
      </c>
      <c r="C17" s="15" t="s">
        <v>149</v>
      </c>
      <c r="D17" s="16">
        <v>8806088905389</v>
      </c>
      <c r="E17" s="14" t="s">
        <v>150</v>
      </c>
      <c r="F17" s="17" t="s">
        <v>151</v>
      </c>
      <c r="G17" s="18">
        <v>4</v>
      </c>
      <c r="H17" s="19">
        <v>3</v>
      </c>
      <c r="I17" s="18">
        <v>0</v>
      </c>
      <c r="J17" s="8" t="s">
        <v>100</v>
      </c>
      <c r="K17" s="14">
        <v>16099</v>
      </c>
      <c r="L17" s="14" t="s">
        <v>122</v>
      </c>
      <c r="M17" s="20" t="s">
        <v>114</v>
      </c>
      <c r="N17" s="14" t="s">
        <v>115</v>
      </c>
      <c r="O17" s="12">
        <f t="shared" si="0"/>
        <v>10</v>
      </c>
      <c r="P17" t="str">
        <f t="shared" si="1"/>
        <v>NK24M7060</v>
      </c>
      <c r="Q17">
        <f t="shared" si="2"/>
        <v>1</v>
      </c>
      <c r="R17" s="21"/>
    </row>
    <row r="18" spans="1:18" x14ac:dyDescent="0.3">
      <c r="A18" s="14">
        <v>4915</v>
      </c>
      <c r="B18" s="8" t="s">
        <v>96</v>
      </c>
      <c r="C18" s="15" t="s">
        <v>152</v>
      </c>
      <c r="D18" s="16">
        <v>8801643184506</v>
      </c>
      <c r="E18" s="14" t="s">
        <v>153</v>
      </c>
      <c r="F18" s="17" t="s">
        <v>154</v>
      </c>
      <c r="G18" s="18">
        <v>1</v>
      </c>
      <c r="H18" s="19">
        <v>1</v>
      </c>
      <c r="I18" s="18">
        <v>0</v>
      </c>
      <c r="J18" s="8" t="s">
        <v>100</v>
      </c>
      <c r="K18" s="14">
        <v>15499</v>
      </c>
      <c r="L18" s="14" t="s">
        <v>122</v>
      </c>
      <c r="M18" s="20" t="s">
        <v>114</v>
      </c>
      <c r="N18" s="14" t="s">
        <v>115</v>
      </c>
      <c r="O18" s="12">
        <f t="shared" si="0"/>
        <v>10</v>
      </c>
      <c r="P18" t="str">
        <f t="shared" si="1"/>
        <v>NK24N7060</v>
      </c>
      <c r="Q18">
        <f t="shared" si="2"/>
        <v>0</v>
      </c>
      <c r="R18" s="21"/>
    </row>
    <row r="19" spans="1:18" x14ac:dyDescent="0.3">
      <c r="A19" s="14">
        <v>3481</v>
      </c>
      <c r="B19" s="8" t="s">
        <v>96</v>
      </c>
      <c r="C19" s="15" t="s">
        <v>155</v>
      </c>
      <c r="D19" s="16">
        <v>8808987666163</v>
      </c>
      <c r="E19" s="14" t="s">
        <v>156</v>
      </c>
      <c r="F19" s="17" t="s">
        <v>157</v>
      </c>
      <c r="G19" s="18">
        <v>2</v>
      </c>
      <c r="H19" s="19">
        <v>1</v>
      </c>
      <c r="I19" s="18">
        <v>0</v>
      </c>
      <c r="J19" s="8" t="s">
        <v>100</v>
      </c>
      <c r="K19" s="14">
        <v>9049</v>
      </c>
      <c r="L19" s="14" t="s">
        <v>122</v>
      </c>
      <c r="M19" s="20" t="s">
        <v>114</v>
      </c>
      <c r="N19" s="14" t="s">
        <v>115</v>
      </c>
      <c r="O19" s="12">
        <f t="shared" si="0"/>
        <v>10</v>
      </c>
      <c r="P19" t="str">
        <f t="shared" si="1"/>
        <v>HC6347BG/</v>
      </c>
      <c r="Q19">
        <f t="shared" si="2"/>
        <v>1</v>
      </c>
      <c r="R19" s="21"/>
    </row>
    <row r="20" spans="1:18" x14ac:dyDescent="0.3">
      <c r="A20" s="14">
        <v>2188</v>
      </c>
      <c r="B20" s="8" t="s">
        <v>96</v>
      </c>
      <c r="C20" s="15" t="s">
        <v>158</v>
      </c>
      <c r="D20" s="16">
        <v>8808993558001</v>
      </c>
      <c r="E20" s="14" t="s">
        <v>159</v>
      </c>
      <c r="F20" s="17" t="s">
        <v>160</v>
      </c>
      <c r="G20" s="18">
        <v>1</v>
      </c>
      <c r="H20" s="19">
        <v>1</v>
      </c>
      <c r="I20" s="18">
        <v>0</v>
      </c>
      <c r="J20" s="8" t="s">
        <v>100</v>
      </c>
      <c r="K20" s="14">
        <v>7799</v>
      </c>
      <c r="L20" s="14" t="s">
        <v>122</v>
      </c>
      <c r="M20" s="20" t="s">
        <v>114</v>
      </c>
      <c r="N20" s="14" t="s">
        <v>115</v>
      </c>
      <c r="O20" s="12">
        <f t="shared" si="0"/>
        <v>10</v>
      </c>
      <c r="P20" t="str">
        <f t="shared" si="1"/>
        <v>HC6390BG/</v>
      </c>
      <c r="Q20">
        <f t="shared" si="2"/>
        <v>0</v>
      </c>
      <c r="R20" s="21"/>
    </row>
    <row r="21" spans="1:18" x14ac:dyDescent="0.3">
      <c r="A21" s="14">
        <v>3634</v>
      </c>
      <c r="B21" s="8" t="s">
        <v>96</v>
      </c>
      <c r="C21" s="15" t="s">
        <v>161</v>
      </c>
      <c r="D21" s="16">
        <v>8806088383934</v>
      </c>
      <c r="E21" s="14" t="s">
        <v>162</v>
      </c>
      <c r="F21" s="17" t="s">
        <v>163</v>
      </c>
      <c r="G21" s="18">
        <v>1</v>
      </c>
      <c r="H21" s="19">
        <v>0</v>
      </c>
      <c r="I21" s="18">
        <v>0</v>
      </c>
      <c r="J21" s="8" t="s">
        <v>100</v>
      </c>
      <c r="K21" s="14">
        <v>13499</v>
      </c>
      <c r="L21" s="14" t="s">
        <v>164</v>
      </c>
      <c r="M21" s="20" t="s">
        <v>114</v>
      </c>
      <c r="N21" s="14" t="s">
        <v>115</v>
      </c>
      <c r="O21" s="12">
        <f t="shared" si="0"/>
        <v>10</v>
      </c>
      <c r="P21" t="str">
        <f t="shared" si="1"/>
        <v>NV60K3110</v>
      </c>
      <c r="Q21">
        <f t="shared" si="2"/>
        <v>1</v>
      </c>
      <c r="R21" s="21"/>
    </row>
    <row r="22" spans="1:18" x14ac:dyDescent="0.3">
      <c r="A22" s="14">
        <v>3635</v>
      </c>
      <c r="B22" s="8" t="s">
        <v>96</v>
      </c>
      <c r="C22" s="15" t="s">
        <v>165</v>
      </c>
      <c r="D22" s="16">
        <v>8806088383941</v>
      </c>
      <c r="E22" s="14" t="s">
        <v>166</v>
      </c>
      <c r="F22" s="17" t="s">
        <v>167</v>
      </c>
      <c r="G22" s="18">
        <v>2</v>
      </c>
      <c r="H22" s="19">
        <v>1</v>
      </c>
      <c r="I22" s="18">
        <v>0</v>
      </c>
      <c r="J22" s="8" t="s">
        <v>100</v>
      </c>
      <c r="K22" s="14">
        <v>17849</v>
      </c>
      <c r="L22" s="14" t="s">
        <v>164</v>
      </c>
      <c r="M22" s="20" t="s">
        <v>114</v>
      </c>
      <c r="N22" s="14" t="s">
        <v>115</v>
      </c>
      <c r="O22" s="12">
        <f t="shared" si="0"/>
        <v>10</v>
      </c>
      <c r="P22" t="str">
        <f t="shared" si="1"/>
        <v>NV60K5140</v>
      </c>
      <c r="Q22">
        <f t="shared" si="2"/>
        <v>1</v>
      </c>
      <c r="R22" s="21"/>
    </row>
    <row r="23" spans="1:18" x14ac:dyDescent="0.3">
      <c r="A23" s="14">
        <v>5805</v>
      </c>
      <c r="B23" s="8" t="s">
        <v>96</v>
      </c>
      <c r="C23" s="15" t="s">
        <v>168</v>
      </c>
      <c r="D23" s="16">
        <v>8806092212831</v>
      </c>
      <c r="E23" s="14" t="s">
        <v>169</v>
      </c>
      <c r="F23" s="17" t="s">
        <v>170</v>
      </c>
      <c r="G23" s="18">
        <v>1</v>
      </c>
      <c r="H23" s="19">
        <v>0</v>
      </c>
      <c r="I23" s="18">
        <v>0</v>
      </c>
      <c r="J23" s="8" t="s">
        <v>100</v>
      </c>
      <c r="K23" s="14">
        <v>17849</v>
      </c>
      <c r="L23" s="14" t="s">
        <v>164</v>
      </c>
      <c r="M23" s="20" t="s">
        <v>114</v>
      </c>
      <c r="N23" s="14" t="s">
        <v>115</v>
      </c>
      <c r="O23" s="12">
        <f t="shared" si="0"/>
        <v>10</v>
      </c>
      <c r="P23" t="str">
        <f t="shared" si="1"/>
        <v>NV60K5140</v>
      </c>
      <c r="Q23">
        <f t="shared" si="2"/>
        <v>1</v>
      </c>
      <c r="R23" s="21"/>
    </row>
    <row r="24" spans="1:18" x14ac:dyDescent="0.3">
      <c r="A24" s="14">
        <v>3731</v>
      </c>
      <c r="B24" s="8" t="s">
        <v>96</v>
      </c>
      <c r="C24" s="15" t="s">
        <v>171</v>
      </c>
      <c r="D24" s="16">
        <v>8806088383958</v>
      </c>
      <c r="E24" s="14" t="s">
        <v>172</v>
      </c>
      <c r="F24" s="17" t="s">
        <v>173</v>
      </c>
      <c r="G24" s="18">
        <v>5</v>
      </c>
      <c r="H24" s="19">
        <v>5</v>
      </c>
      <c r="I24" s="18">
        <v>0</v>
      </c>
      <c r="J24" s="8" t="s">
        <v>100</v>
      </c>
      <c r="K24" s="14">
        <v>20999</v>
      </c>
      <c r="L24" s="14" t="s">
        <v>164</v>
      </c>
      <c r="M24" s="20" t="s">
        <v>114</v>
      </c>
      <c r="N24" s="14" t="s">
        <v>115</v>
      </c>
      <c r="O24" s="12">
        <f t="shared" si="0"/>
        <v>10</v>
      </c>
      <c r="P24" t="str">
        <f t="shared" si="1"/>
        <v>NV60K7140</v>
      </c>
      <c r="Q24">
        <f t="shared" si="2"/>
        <v>0</v>
      </c>
      <c r="R24" s="21"/>
    </row>
    <row r="25" spans="1:18" x14ac:dyDescent="0.3">
      <c r="A25" s="14">
        <v>4255</v>
      </c>
      <c r="B25" s="8" t="s">
        <v>96</v>
      </c>
      <c r="C25" s="15" t="s">
        <v>174</v>
      </c>
      <c r="D25" s="16">
        <v>8806088905396</v>
      </c>
      <c r="E25" s="14" t="s">
        <v>175</v>
      </c>
      <c r="F25" s="17" t="s">
        <v>176</v>
      </c>
      <c r="G25" s="18">
        <v>4</v>
      </c>
      <c r="H25" s="19">
        <v>3</v>
      </c>
      <c r="I25" s="18">
        <v>0</v>
      </c>
      <c r="J25" s="8" t="s">
        <v>100</v>
      </c>
      <c r="K25" s="14">
        <v>20999</v>
      </c>
      <c r="L25" s="14" t="s">
        <v>164</v>
      </c>
      <c r="M25" s="20" t="s">
        <v>114</v>
      </c>
      <c r="N25" s="14" t="s">
        <v>115</v>
      </c>
      <c r="O25" s="12">
        <f t="shared" si="0"/>
        <v>10</v>
      </c>
      <c r="P25" t="str">
        <f t="shared" si="1"/>
        <v>NV60M7140</v>
      </c>
      <c r="Q25">
        <f t="shared" si="2"/>
        <v>1</v>
      </c>
      <c r="R25" s="21"/>
    </row>
    <row r="26" spans="1:18" x14ac:dyDescent="0.3">
      <c r="A26" s="14">
        <v>6808</v>
      </c>
      <c r="B26" s="8" t="s">
        <v>96</v>
      </c>
      <c r="C26" s="15" t="s">
        <v>177</v>
      </c>
      <c r="D26" s="16">
        <v>8806094706079</v>
      </c>
      <c r="E26" s="14" t="s">
        <v>178</v>
      </c>
      <c r="F26" s="17" t="s">
        <v>179</v>
      </c>
      <c r="G26" s="18">
        <v>3</v>
      </c>
      <c r="H26" s="19">
        <v>3</v>
      </c>
      <c r="I26" s="18">
        <v>0</v>
      </c>
      <c r="J26" s="8" t="s">
        <v>100</v>
      </c>
      <c r="K26" s="14">
        <v>37099</v>
      </c>
      <c r="L26" s="14" t="s">
        <v>164</v>
      </c>
      <c r="M26" s="20" t="s">
        <v>114</v>
      </c>
      <c r="N26" s="14" t="s">
        <v>115</v>
      </c>
      <c r="O26" s="12">
        <f t="shared" si="0"/>
        <v>10</v>
      </c>
      <c r="P26" t="str">
        <f t="shared" si="1"/>
        <v>NV7B4420Z</v>
      </c>
      <c r="Q26">
        <f t="shared" si="2"/>
        <v>0</v>
      </c>
      <c r="R26" s="21"/>
    </row>
    <row r="27" spans="1:18" x14ac:dyDescent="0.3">
      <c r="A27" s="14">
        <v>7192</v>
      </c>
      <c r="B27" s="8" t="s">
        <v>96</v>
      </c>
      <c r="C27" s="15" t="s">
        <v>180</v>
      </c>
      <c r="D27" s="16">
        <v>8806094706086</v>
      </c>
      <c r="E27" s="14" t="s">
        <v>181</v>
      </c>
      <c r="F27" s="17" t="s">
        <v>182</v>
      </c>
      <c r="G27" s="18">
        <v>2</v>
      </c>
      <c r="H27" s="19">
        <v>0</v>
      </c>
      <c r="I27" s="18">
        <v>0</v>
      </c>
      <c r="J27" s="8" t="s">
        <v>100</v>
      </c>
      <c r="K27" s="14">
        <v>51149</v>
      </c>
      <c r="L27" s="14" t="s">
        <v>164</v>
      </c>
      <c r="M27" s="20" t="s">
        <v>114</v>
      </c>
      <c r="N27" s="14" t="s">
        <v>115</v>
      </c>
      <c r="O27" s="12">
        <f t="shared" si="0"/>
        <v>10</v>
      </c>
      <c r="P27" t="str">
        <f t="shared" si="1"/>
        <v>NV7B4520Z</v>
      </c>
      <c r="Q27">
        <f t="shared" si="2"/>
        <v>2</v>
      </c>
      <c r="R27" s="21"/>
    </row>
    <row r="28" spans="1:18" x14ac:dyDescent="0.3">
      <c r="A28" s="14">
        <v>7070</v>
      </c>
      <c r="B28" s="8" t="s">
        <v>96</v>
      </c>
      <c r="C28" s="15" t="s">
        <v>183</v>
      </c>
      <c r="D28" s="16">
        <v>8806094738285</v>
      </c>
      <c r="E28" s="14" t="s">
        <v>184</v>
      </c>
      <c r="F28" s="17" t="s">
        <v>185</v>
      </c>
      <c r="G28" s="18">
        <v>2</v>
      </c>
      <c r="H28" s="19">
        <v>2</v>
      </c>
      <c r="I28" s="18">
        <v>0</v>
      </c>
      <c r="J28" s="8" t="s">
        <v>100</v>
      </c>
      <c r="K28" s="14">
        <v>52299</v>
      </c>
      <c r="L28" s="14" t="s">
        <v>164</v>
      </c>
      <c r="M28" s="20" t="s">
        <v>114</v>
      </c>
      <c r="N28" s="14" t="s">
        <v>115</v>
      </c>
      <c r="O28" s="12">
        <f t="shared" si="0"/>
        <v>10</v>
      </c>
      <c r="P28" t="str">
        <f t="shared" si="1"/>
        <v>NV7B56458</v>
      </c>
      <c r="Q28">
        <f t="shared" si="2"/>
        <v>0</v>
      </c>
      <c r="R28" s="21"/>
    </row>
    <row r="29" spans="1:18" x14ac:dyDescent="0.3">
      <c r="A29" s="14">
        <v>6812</v>
      </c>
      <c r="B29" s="8" t="s">
        <v>96</v>
      </c>
      <c r="C29" s="15" t="s">
        <v>186</v>
      </c>
      <c r="D29" s="16">
        <v>8806094738292</v>
      </c>
      <c r="E29" s="14" t="s">
        <v>187</v>
      </c>
      <c r="F29" s="17" t="s">
        <v>188</v>
      </c>
      <c r="G29" s="18">
        <v>2</v>
      </c>
      <c r="H29" s="19">
        <v>1</v>
      </c>
      <c r="I29" s="18">
        <v>0</v>
      </c>
      <c r="J29" s="8" t="s">
        <v>100</v>
      </c>
      <c r="K29" s="14">
        <v>60349</v>
      </c>
      <c r="L29" s="14" t="s">
        <v>164</v>
      </c>
      <c r="M29" s="20" t="s">
        <v>114</v>
      </c>
      <c r="N29" s="14" t="s">
        <v>115</v>
      </c>
      <c r="O29" s="12">
        <f t="shared" si="0"/>
        <v>10</v>
      </c>
      <c r="P29" t="str">
        <f t="shared" si="1"/>
        <v>NV7B6665I</v>
      </c>
      <c r="Q29">
        <f t="shared" si="2"/>
        <v>1</v>
      </c>
      <c r="R29" s="21"/>
    </row>
    <row r="30" spans="1:18" x14ac:dyDescent="0.3">
      <c r="A30" s="14">
        <v>6689</v>
      </c>
      <c r="B30" s="8" t="s">
        <v>96</v>
      </c>
      <c r="C30" s="15" t="s">
        <v>189</v>
      </c>
      <c r="D30" s="16">
        <v>8806092705449</v>
      </c>
      <c r="E30" s="14" t="s">
        <v>190</v>
      </c>
      <c r="F30" s="17" t="s">
        <v>191</v>
      </c>
      <c r="G30" s="18">
        <v>3</v>
      </c>
      <c r="H30" s="19">
        <v>2</v>
      </c>
      <c r="I30" s="18">
        <v>0</v>
      </c>
      <c r="J30" s="8" t="s">
        <v>100</v>
      </c>
      <c r="K30" s="14">
        <v>28449</v>
      </c>
      <c r="L30" s="14" t="s">
        <v>192</v>
      </c>
      <c r="M30" s="20" t="s">
        <v>114</v>
      </c>
      <c r="N30" s="14" t="s">
        <v>115</v>
      </c>
      <c r="O30" s="12">
        <f t="shared" si="0"/>
        <v>10</v>
      </c>
      <c r="P30" t="str">
        <f t="shared" si="1"/>
        <v>CTR164NC0</v>
      </c>
      <c r="Q30">
        <f t="shared" si="2"/>
        <v>1</v>
      </c>
      <c r="R30" s="21"/>
    </row>
    <row r="31" spans="1:18" x14ac:dyDescent="0.3">
      <c r="A31" s="14">
        <v>3495</v>
      </c>
      <c r="B31" s="8" t="s">
        <v>96</v>
      </c>
      <c r="C31" s="15" t="s">
        <v>193</v>
      </c>
      <c r="D31" s="16">
        <v>8806071451930</v>
      </c>
      <c r="E31" s="14" t="s">
        <v>194</v>
      </c>
      <c r="F31" s="17" t="s">
        <v>195</v>
      </c>
      <c r="G31" s="18">
        <v>3</v>
      </c>
      <c r="H31" s="19">
        <v>2</v>
      </c>
      <c r="I31" s="18">
        <v>0</v>
      </c>
      <c r="J31" s="8" t="s">
        <v>100</v>
      </c>
      <c r="K31" s="14">
        <v>19849</v>
      </c>
      <c r="L31" s="14" t="s">
        <v>192</v>
      </c>
      <c r="M31" s="20" t="s">
        <v>114</v>
      </c>
      <c r="N31" s="14" t="s">
        <v>115</v>
      </c>
      <c r="O31" s="12">
        <f t="shared" si="0"/>
        <v>10</v>
      </c>
      <c r="P31" t="str">
        <f t="shared" si="1"/>
        <v>CTR464EB0</v>
      </c>
      <c r="Q31">
        <f t="shared" si="2"/>
        <v>1</v>
      </c>
      <c r="R31" s="21"/>
    </row>
    <row r="32" spans="1:18" x14ac:dyDescent="0.3">
      <c r="A32" s="14">
        <v>6158</v>
      </c>
      <c r="B32" s="8" t="s">
        <v>96</v>
      </c>
      <c r="C32" s="15" t="s">
        <v>196</v>
      </c>
      <c r="D32" s="16">
        <v>8806092861909</v>
      </c>
      <c r="E32" s="14" t="s">
        <v>197</v>
      </c>
      <c r="F32" s="17" t="s">
        <v>198</v>
      </c>
      <c r="G32" s="18">
        <v>4</v>
      </c>
      <c r="H32" s="19">
        <v>3</v>
      </c>
      <c r="I32" s="18">
        <v>0</v>
      </c>
      <c r="J32" s="8" t="s">
        <v>100</v>
      </c>
      <c r="K32" s="14">
        <v>8499</v>
      </c>
      <c r="L32" s="14" t="s">
        <v>192</v>
      </c>
      <c r="M32" s="20" t="s">
        <v>114</v>
      </c>
      <c r="N32" s="14" t="s">
        <v>115</v>
      </c>
      <c r="O32" s="12">
        <f t="shared" si="0"/>
        <v>10</v>
      </c>
      <c r="P32" t="str">
        <f t="shared" si="1"/>
        <v>NA64B3100</v>
      </c>
      <c r="Q32">
        <f t="shared" si="2"/>
        <v>1</v>
      </c>
      <c r="R32" s="21"/>
    </row>
    <row r="33" spans="1:18" x14ac:dyDescent="0.3">
      <c r="A33" s="14">
        <v>2085</v>
      </c>
      <c r="B33" s="8" t="s">
        <v>96</v>
      </c>
      <c r="C33" s="15" t="s">
        <v>199</v>
      </c>
      <c r="D33" s="16">
        <v>8806086030946</v>
      </c>
      <c r="E33" s="14" t="s">
        <v>200</v>
      </c>
      <c r="F33" s="17" t="s">
        <v>201</v>
      </c>
      <c r="G33" s="18">
        <v>5</v>
      </c>
      <c r="H33" s="19">
        <v>4</v>
      </c>
      <c r="I33" s="18">
        <v>0</v>
      </c>
      <c r="J33" s="8" t="s">
        <v>100</v>
      </c>
      <c r="K33" s="14">
        <v>15499</v>
      </c>
      <c r="L33" s="14" t="s">
        <v>192</v>
      </c>
      <c r="M33" s="20" t="s">
        <v>114</v>
      </c>
      <c r="N33" s="14" t="s">
        <v>115</v>
      </c>
      <c r="O33" s="12">
        <f t="shared" si="0"/>
        <v>10</v>
      </c>
      <c r="P33" t="str">
        <f t="shared" si="1"/>
        <v>NA64H3010</v>
      </c>
      <c r="Q33">
        <f t="shared" si="2"/>
        <v>1</v>
      </c>
      <c r="R33" s="21"/>
    </row>
    <row r="34" spans="1:18" x14ac:dyDescent="0.3">
      <c r="A34" s="14">
        <v>2183</v>
      </c>
      <c r="B34" s="8" t="s">
        <v>96</v>
      </c>
      <c r="C34" s="15" t="s">
        <v>202</v>
      </c>
      <c r="D34" s="16">
        <v>8806086031028</v>
      </c>
      <c r="E34" s="14" t="s">
        <v>203</v>
      </c>
      <c r="F34" s="17" t="s">
        <v>204</v>
      </c>
      <c r="G34" s="18">
        <v>5</v>
      </c>
      <c r="H34" s="19">
        <v>4</v>
      </c>
      <c r="I34" s="18">
        <v>0</v>
      </c>
      <c r="J34" s="8" t="s">
        <v>100</v>
      </c>
      <c r="K34" s="14">
        <v>12949</v>
      </c>
      <c r="L34" s="14" t="s">
        <v>192</v>
      </c>
      <c r="M34" s="20" t="s">
        <v>114</v>
      </c>
      <c r="N34" s="14" t="s">
        <v>115</v>
      </c>
      <c r="O34" s="12">
        <f t="shared" si="0"/>
        <v>10</v>
      </c>
      <c r="P34" t="str">
        <f t="shared" si="1"/>
        <v>NA64H3030</v>
      </c>
      <c r="Q34">
        <f t="shared" si="2"/>
        <v>1</v>
      </c>
      <c r="R34" s="21"/>
    </row>
    <row r="35" spans="1:18" x14ac:dyDescent="0.3">
      <c r="A35" s="14">
        <v>2184</v>
      </c>
      <c r="B35" s="8" t="s">
        <v>96</v>
      </c>
      <c r="C35" s="15" t="s">
        <v>205</v>
      </c>
      <c r="D35" s="16">
        <v>8806086031066</v>
      </c>
      <c r="E35" s="14" t="s">
        <v>206</v>
      </c>
      <c r="F35" s="17" t="s">
        <v>207</v>
      </c>
      <c r="G35" s="18">
        <v>4</v>
      </c>
      <c r="H35" s="19">
        <v>2</v>
      </c>
      <c r="I35" s="18">
        <v>0</v>
      </c>
      <c r="J35" s="8" t="s">
        <v>100</v>
      </c>
      <c r="K35" s="14">
        <v>9199</v>
      </c>
      <c r="L35" s="14" t="s">
        <v>192</v>
      </c>
      <c r="M35" s="20" t="s">
        <v>114</v>
      </c>
      <c r="N35" s="14" t="s">
        <v>115</v>
      </c>
      <c r="O35" s="12">
        <f t="shared" si="0"/>
        <v>10</v>
      </c>
      <c r="P35" t="str">
        <f t="shared" si="1"/>
        <v>NA64H3110</v>
      </c>
      <c r="Q35">
        <f t="shared" si="2"/>
        <v>2</v>
      </c>
      <c r="R35" s="21"/>
    </row>
    <row r="36" spans="1:18" x14ac:dyDescent="0.3">
      <c r="A36" s="14">
        <v>4253</v>
      </c>
      <c r="B36" s="8" t="s">
        <v>96</v>
      </c>
      <c r="C36" s="15" t="s">
        <v>208</v>
      </c>
      <c r="D36" s="16">
        <v>8806088905372</v>
      </c>
      <c r="E36" s="14" t="s">
        <v>209</v>
      </c>
      <c r="F36" s="17" t="s">
        <v>210</v>
      </c>
      <c r="G36" s="18">
        <v>6</v>
      </c>
      <c r="H36" s="19">
        <v>5</v>
      </c>
      <c r="I36" s="18">
        <v>0</v>
      </c>
      <c r="J36" s="8" t="s">
        <v>100</v>
      </c>
      <c r="K36" s="14">
        <v>14099</v>
      </c>
      <c r="L36" s="14" t="s">
        <v>192</v>
      </c>
      <c r="M36" s="20" t="s">
        <v>114</v>
      </c>
      <c r="N36" s="14" t="s">
        <v>115</v>
      </c>
      <c r="O36" s="12">
        <f t="shared" si="0"/>
        <v>10</v>
      </c>
      <c r="P36" t="str">
        <f t="shared" si="1"/>
        <v>NA64M7100</v>
      </c>
      <c r="Q36">
        <f t="shared" si="2"/>
        <v>1</v>
      </c>
      <c r="R36" s="21"/>
    </row>
    <row r="37" spans="1:18" x14ac:dyDescent="0.3">
      <c r="A37" s="14">
        <v>4519</v>
      </c>
      <c r="B37" s="8" t="s">
        <v>96</v>
      </c>
      <c r="C37" s="15" t="s">
        <v>211</v>
      </c>
      <c r="D37" s="16">
        <v>8801643184759</v>
      </c>
      <c r="E37" s="14" t="s">
        <v>212</v>
      </c>
      <c r="F37" s="17" t="s">
        <v>213</v>
      </c>
      <c r="G37" s="18">
        <v>5</v>
      </c>
      <c r="H37" s="19">
        <v>4</v>
      </c>
      <c r="I37" s="18">
        <v>0</v>
      </c>
      <c r="J37" s="8" t="s">
        <v>100</v>
      </c>
      <c r="K37" s="14">
        <v>13599</v>
      </c>
      <c r="L37" s="14" t="s">
        <v>192</v>
      </c>
      <c r="M37" s="20" t="s">
        <v>114</v>
      </c>
      <c r="N37" s="14" t="s">
        <v>115</v>
      </c>
      <c r="O37" s="12">
        <f t="shared" si="0"/>
        <v>10</v>
      </c>
      <c r="P37" t="str">
        <f t="shared" si="1"/>
        <v>NA64N7100</v>
      </c>
      <c r="Q37">
        <f t="shared" si="2"/>
        <v>1</v>
      </c>
      <c r="R37" s="21"/>
    </row>
    <row r="38" spans="1:18" x14ac:dyDescent="0.3">
      <c r="A38" s="14">
        <v>810</v>
      </c>
      <c r="B38" s="8" t="s">
        <v>96</v>
      </c>
      <c r="C38" s="15" t="s">
        <v>214</v>
      </c>
      <c r="E38" s="14" t="s">
        <v>215</v>
      </c>
      <c r="F38" s="17" t="s">
        <v>216</v>
      </c>
      <c r="G38" s="18">
        <v>1</v>
      </c>
      <c r="H38" s="19">
        <v>0</v>
      </c>
      <c r="I38" s="18">
        <v>0</v>
      </c>
      <c r="J38" s="8" t="s">
        <v>100</v>
      </c>
      <c r="K38" s="14">
        <v>54699</v>
      </c>
      <c r="L38" s="14" t="s">
        <v>164</v>
      </c>
      <c r="M38" s="20" t="s">
        <v>217</v>
      </c>
      <c r="N38" s="14" t="s">
        <v>115</v>
      </c>
      <c r="O38" s="12">
        <f t="shared" si="0"/>
        <v>10</v>
      </c>
      <c r="P38" t="str">
        <f t="shared" si="1"/>
        <v>HB76P570</v>
      </c>
      <c r="Q38">
        <f t="shared" si="2"/>
        <v>1</v>
      </c>
      <c r="R38" s="21"/>
    </row>
    <row r="39" spans="1:18" x14ac:dyDescent="0.3">
      <c r="A39" s="14">
        <v>3721</v>
      </c>
      <c r="B39" s="8" t="s">
        <v>96</v>
      </c>
      <c r="C39" s="15" t="s">
        <v>218</v>
      </c>
      <c r="D39" s="16">
        <v>8596888888875</v>
      </c>
      <c r="E39" s="14" t="s">
        <v>219</v>
      </c>
      <c r="F39" s="17" t="s">
        <v>220</v>
      </c>
      <c r="G39" s="18">
        <v>12</v>
      </c>
      <c r="H39" s="19">
        <v>0</v>
      </c>
      <c r="I39" s="18">
        <v>0</v>
      </c>
      <c r="J39" s="8" t="s">
        <v>100</v>
      </c>
      <c r="K39" s="14">
        <v>2799</v>
      </c>
      <c r="L39" s="14" t="s">
        <v>221</v>
      </c>
      <c r="M39" s="20" t="s">
        <v>222</v>
      </c>
      <c r="N39" s="14" t="s">
        <v>103</v>
      </c>
      <c r="O39" s="12">
        <f t="shared" si="0"/>
        <v>10</v>
      </c>
      <c r="P39" t="str">
        <f t="shared" si="1"/>
        <v xml:space="preserve">ANKASTRE </v>
      </c>
      <c r="Q39">
        <f t="shared" si="2"/>
        <v>12</v>
      </c>
      <c r="R39" s="21"/>
    </row>
    <row r="40" spans="1:18" x14ac:dyDescent="0.3">
      <c r="A40" s="14">
        <v>5797</v>
      </c>
      <c r="B40" s="8" t="s">
        <v>96</v>
      </c>
      <c r="C40" s="15" t="s">
        <v>223</v>
      </c>
      <c r="D40" s="16">
        <v>8806092174078</v>
      </c>
      <c r="E40" s="14" t="s">
        <v>224</v>
      </c>
      <c r="F40" s="17" t="s">
        <v>225</v>
      </c>
      <c r="G40" s="18">
        <v>1</v>
      </c>
      <c r="H40" s="19">
        <v>0</v>
      </c>
      <c r="I40" s="18">
        <v>0</v>
      </c>
      <c r="J40" s="8" t="s">
        <v>100</v>
      </c>
      <c r="K40" s="14">
        <v>16699</v>
      </c>
      <c r="L40" s="14" t="s">
        <v>226</v>
      </c>
      <c r="M40" s="20" t="s">
        <v>114</v>
      </c>
      <c r="N40" s="14" t="s">
        <v>115</v>
      </c>
      <c r="O40" s="12">
        <f t="shared" si="0"/>
        <v>10</v>
      </c>
      <c r="P40" t="str">
        <f t="shared" si="1"/>
        <v>MG22M8054</v>
      </c>
      <c r="Q40">
        <f t="shared" si="2"/>
        <v>1</v>
      </c>
      <c r="R40" s="21"/>
    </row>
    <row r="41" spans="1:18" x14ac:dyDescent="0.3">
      <c r="A41" s="14">
        <v>7058</v>
      </c>
      <c r="B41" s="8" t="s">
        <v>96</v>
      </c>
      <c r="C41" s="15" t="s">
        <v>19</v>
      </c>
      <c r="D41" s="16">
        <v>8806094355529</v>
      </c>
      <c r="E41" s="14" t="s">
        <v>227</v>
      </c>
      <c r="F41" s="17" t="s">
        <v>228</v>
      </c>
      <c r="G41" s="18">
        <v>2</v>
      </c>
      <c r="I41" s="18">
        <v>0</v>
      </c>
      <c r="J41" s="8" t="s">
        <v>100</v>
      </c>
      <c r="K41" s="14">
        <v>38099</v>
      </c>
      <c r="L41" s="14" t="s">
        <v>229</v>
      </c>
      <c r="M41" s="20" t="s">
        <v>114</v>
      </c>
      <c r="N41" s="14" t="s">
        <v>230</v>
      </c>
      <c r="O41" s="12">
        <f t="shared" si="0"/>
        <v>10</v>
      </c>
      <c r="P41" t="str">
        <f t="shared" si="1"/>
        <v>SP-LFF3CL</v>
      </c>
      <c r="Q41">
        <f t="shared" si="2"/>
        <v>2</v>
      </c>
      <c r="R41" s="21"/>
    </row>
    <row r="42" spans="1:18" x14ac:dyDescent="0.3">
      <c r="A42" s="14">
        <v>7059</v>
      </c>
      <c r="B42" s="8" t="s">
        <v>96</v>
      </c>
      <c r="C42" s="15" t="s">
        <v>20</v>
      </c>
      <c r="D42" s="16">
        <v>8806094959635</v>
      </c>
      <c r="E42" s="14" t="s">
        <v>231</v>
      </c>
      <c r="F42" s="17" t="s">
        <v>232</v>
      </c>
      <c r="G42" s="18">
        <v>2</v>
      </c>
      <c r="H42" s="19">
        <v>0</v>
      </c>
      <c r="I42" s="18">
        <v>0</v>
      </c>
      <c r="J42" s="8" t="s">
        <v>100</v>
      </c>
      <c r="K42" s="14">
        <v>5299</v>
      </c>
      <c r="L42" s="14" t="s">
        <v>233</v>
      </c>
      <c r="M42" s="20" t="s">
        <v>114</v>
      </c>
      <c r="N42" s="14" t="s">
        <v>234</v>
      </c>
      <c r="O42" s="12">
        <f t="shared" si="0"/>
        <v>10</v>
      </c>
      <c r="P42" t="str">
        <f t="shared" si="1"/>
        <v>VG-FBB3BA</v>
      </c>
      <c r="Q42">
        <f t="shared" si="2"/>
        <v>2</v>
      </c>
      <c r="R42" s="21"/>
    </row>
    <row r="43" spans="1:18" x14ac:dyDescent="0.3">
      <c r="A43" s="14">
        <v>7189</v>
      </c>
      <c r="B43" s="8" t="s">
        <v>96</v>
      </c>
      <c r="C43" s="15">
        <v>20267399</v>
      </c>
      <c r="D43" s="16">
        <v>8698902673990</v>
      </c>
      <c r="E43" s="14" t="s">
        <v>235</v>
      </c>
      <c r="F43" s="17" t="s">
        <v>236</v>
      </c>
      <c r="G43" s="18">
        <v>1</v>
      </c>
      <c r="H43" s="19">
        <v>1</v>
      </c>
      <c r="I43" s="18">
        <v>0</v>
      </c>
      <c r="J43" s="8" t="s">
        <v>100</v>
      </c>
      <c r="K43" s="14">
        <v>7199</v>
      </c>
      <c r="L43" s="14" t="s">
        <v>129</v>
      </c>
      <c r="M43" s="20" t="s">
        <v>237</v>
      </c>
      <c r="N43" s="14" t="s">
        <v>130</v>
      </c>
      <c r="O43" s="12">
        <f t="shared" si="0"/>
        <v>10</v>
      </c>
      <c r="P43" t="str">
        <f t="shared" si="1"/>
        <v>20267399</v>
      </c>
      <c r="Q43">
        <f t="shared" si="2"/>
        <v>0</v>
      </c>
      <c r="R43" s="21"/>
    </row>
    <row r="44" spans="1:18" x14ac:dyDescent="0.3">
      <c r="A44" s="14">
        <v>7060</v>
      </c>
      <c r="B44" s="8" t="s">
        <v>96</v>
      </c>
      <c r="C44" s="15">
        <v>20264054</v>
      </c>
      <c r="D44" s="16">
        <v>8698902640541</v>
      </c>
      <c r="E44" s="14" t="s">
        <v>238</v>
      </c>
      <c r="F44" s="17" t="s">
        <v>239</v>
      </c>
      <c r="G44" s="18">
        <v>1</v>
      </c>
      <c r="H44" s="19">
        <v>1</v>
      </c>
      <c r="I44" s="18">
        <v>0</v>
      </c>
      <c r="J44" s="8" t="s">
        <v>100</v>
      </c>
      <c r="K44" s="14">
        <v>25849</v>
      </c>
      <c r="L44" s="14" t="s">
        <v>113</v>
      </c>
      <c r="M44" s="20" t="s">
        <v>237</v>
      </c>
      <c r="N44" s="14" t="s">
        <v>130</v>
      </c>
      <c r="O44" s="12">
        <f t="shared" si="0"/>
        <v>10</v>
      </c>
      <c r="P44" t="str">
        <f t="shared" si="1"/>
        <v>20264054</v>
      </c>
      <c r="Q44">
        <f t="shared" si="2"/>
        <v>0</v>
      </c>
      <c r="R44" s="21"/>
    </row>
    <row r="45" spans="1:18" x14ac:dyDescent="0.3">
      <c r="A45" s="14">
        <v>5634</v>
      </c>
      <c r="B45" s="8" t="s">
        <v>96</v>
      </c>
      <c r="C45" s="15">
        <v>20263214</v>
      </c>
      <c r="D45" s="16">
        <v>8698902632140</v>
      </c>
      <c r="E45" s="14" t="s">
        <v>240</v>
      </c>
      <c r="F45" s="17" t="s">
        <v>241</v>
      </c>
      <c r="G45" s="18">
        <v>3</v>
      </c>
      <c r="H45" s="19">
        <v>2</v>
      </c>
      <c r="I45" s="18">
        <v>0</v>
      </c>
      <c r="J45" s="8" t="s">
        <v>100</v>
      </c>
      <c r="K45" s="14">
        <v>35349</v>
      </c>
      <c r="L45" s="14" t="s">
        <v>113</v>
      </c>
      <c r="M45" s="20" t="s">
        <v>237</v>
      </c>
      <c r="N45" s="14" t="s">
        <v>115</v>
      </c>
      <c r="O45" s="12">
        <f t="shared" si="0"/>
        <v>10</v>
      </c>
      <c r="P45" t="str">
        <f t="shared" si="1"/>
        <v>20263214</v>
      </c>
      <c r="Q45">
        <f t="shared" si="2"/>
        <v>1</v>
      </c>
      <c r="R45" s="21"/>
    </row>
    <row r="46" spans="1:18" x14ac:dyDescent="0.3">
      <c r="A46" s="14">
        <v>4574</v>
      </c>
      <c r="B46" s="8" t="s">
        <v>96</v>
      </c>
      <c r="C46" s="15">
        <v>20260814</v>
      </c>
      <c r="D46" s="16">
        <v>8698902608145</v>
      </c>
      <c r="E46" s="14" t="s">
        <v>242</v>
      </c>
      <c r="F46" s="17" t="s">
        <v>243</v>
      </c>
      <c r="G46" s="18">
        <v>2</v>
      </c>
      <c r="H46" s="19">
        <v>0</v>
      </c>
      <c r="I46" s="18">
        <v>0</v>
      </c>
      <c r="J46" s="8" t="s">
        <v>100</v>
      </c>
      <c r="K46" s="14">
        <v>8349</v>
      </c>
      <c r="L46" s="14" t="s">
        <v>122</v>
      </c>
      <c r="M46" s="20" t="s">
        <v>237</v>
      </c>
      <c r="N46" s="14" t="s">
        <v>115</v>
      </c>
      <c r="O46" s="12">
        <f t="shared" si="0"/>
        <v>10</v>
      </c>
      <c r="P46" t="str">
        <f t="shared" si="1"/>
        <v>20260814</v>
      </c>
      <c r="Q46">
        <f t="shared" si="2"/>
        <v>2</v>
      </c>
      <c r="R46" s="21"/>
    </row>
    <row r="47" spans="1:18" x14ac:dyDescent="0.3">
      <c r="A47" s="14">
        <v>4556</v>
      </c>
      <c r="B47" s="8" t="s">
        <v>96</v>
      </c>
      <c r="C47" s="15">
        <v>20260812</v>
      </c>
      <c r="D47" s="16">
        <v>8698902608121</v>
      </c>
      <c r="E47" s="14" t="s">
        <v>244</v>
      </c>
      <c r="F47" s="17" t="s">
        <v>245</v>
      </c>
      <c r="G47" s="18">
        <v>4</v>
      </c>
      <c r="H47" s="19">
        <v>2</v>
      </c>
      <c r="I47" s="18">
        <v>0</v>
      </c>
      <c r="J47" s="8" t="s">
        <v>100</v>
      </c>
      <c r="K47" s="14">
        <v>8349</v>
      </c>
      <c r="L47" s="14" t="s">
        <v>122</v>
      </c>
      <c r="M47" s="20" t="s">
        <v>237</v>
      </c>
      <c r="N47" s="14" t="s">
        <v>115</v>
      </c>
      <c r="O47" s="12">
        <f t="shared" si="0"/>
        <v>10</v>
      </c>
      <c r="P47" t="str">
        <f t="shared" si="1"/>
        <v>20260812</v>
      </c>
      <c r="Q47">
        <f t="shared" si="2"/>
        <v>2</v>
      </c>
      <c r="R47" s="21"/>
    </row>
    <row r="48" spans="1:18" x14ac:dyDescent="0.3">
      <c r="A48" s="14">
        <v>6638</v>
      </c>
      <c r="B48" s="8" t="s">
        <v>96</v>
      </c>
      <c r="C48" s="15">
        <v>20267392</v>
      </c>
      <c r="D48" s="16">
        <v>8698902673921</v>
      </c>
      <c r="E48" s="14" t="s">
        <v>246</v>
      </c>
      <c r="F48" s="17" t="s">
        <v>247</v>
      </c>
      <c r="G48" s="18">
        <v>11</v>
      </c>
      <c r="H48" s="19">
        <v>8</v>
      </c>
      <c r="I48" s="18">
        <v>0</v>
      </c>
      <c r="J48" s="8" t="s">
        <v>100</v>
      </c>
      <c r="K48" s="14">
        <v>8349</v>
      </c>
      <c r="L48" s="14" t="s">
        <v>122</v>
      </c>
      <c r="M48" s="20" t="s">
        <v>237</v>
      </c>
      <c r="N48" s="14" t="s">
        <v>115</v>
      </c>
      <c r="O48" s="12">
        <f t="shared" si="0"/>
        <v>10</v>
      </c>
      <c r="P48" t="str">
        <f t="shared" si="1"/>
        <v>20267392</v>
      </c>
      <c r="Q48">
        <f t="shared" si="2"/>
        <v>3</v>
      </c>
      <c r="R48" s="21"/>
    </row>
    <row r="49" spans="1:18" x14ac:dyDescent="0.3">
      <c r="A49" s="14">
        <v>6908</v>
      </c>
      <c r="B49" s="8" t="s">
        <v>96</v>
      </c>
      <c r="C49" s="15">
        <v>20267321</v>
      </c>
      <c r="D49" s="16">
        <v>8698902673211</v>
      </c>
      <c r="E49" s="14" t="s">
        <v>248</v>
      </c>
      <c r="F49" s="17" t="s">
        <v>249</v>
      </c>
      <c r="G49" s="18">
        <v>1</v>
      </c>
      <c r="H49" s="19">
        <v>0</v>
      </c>
      <c r="I49" s="18">
        <v>0</v>
      </c>
      <c r="J49" s="8" t="s">
        <v>100</v>
      </c>
      <c r="K49" s="14">
        <v>8349</v>
      </c>
      <c r="L49" s="14" t="s">
        <v>122</v>
      </c>
      <c r="M49" s="20" t="s">
        <v>237</v>
      </c>
      <c r="N49" s="14" t="s">
        <v>115</v>
      </c>
      <c r="O49" s="12">
        <f t="shared" si="0"/>
        <v>10</v>
      </c>
      <c r="P49" t="str">
        <f t="shared" si="1"/>
        <v>20267321</v>
      </c>
      <c r="Q49">
        <f t="shared" si="2"/>
        <v>1</v>
      </c>
      <c r="R49" s="21"/>
    </row>
    <row r="50" spans="1:18" x14ac:dyDescent="0.3">
      <c r="A50" s="14">
        <v>6943</v>
      </c>
      <c r="B50" s="8" t="s">
        <v>96</v>
      </c>
      <c r="C50" s="15">
        <v>20268706</v>
      </c>
      <c r="D50" s="16">
        <v>8698902687065</v>
      </c>
      <c r="E50" s="14" t="s">
        <v>250</v>
      </c>
      <c r="F50" s="17" t="s">
        <v>251</v>
      </c>
      <c r="G50" s="18">
        <v>2</v>
      </c>
      <c r="H50" s="19">
        <v>1</v>
      </c>
      <c r="I50" s="18">
        <v>0</v>
      </c>
      <c r="J50" s="8" t="s">
        <v>100</v>
      </c>
      <c r="K50" s="14">
        <v>11199</v>
      </c>
      <c r="L50" s="14" t="s">
        <v>122</v>
      </c>
      <c r="M50" s="20" t="s">
        <v>237</v>
      </c>
      <c r="N50" s="14" t="s">
        <v>115</v>
      </c>
      <c r="O50" s="12">
        <f t="shared" si="0"/>
        <v>10</v>
      </c>
      <c r="P50" t="str">
        <f t="shared" si="1"/>
        <v>20268706</v>
      </c>
      <c r="Q50">
        <f t="shared" si="2"/>
        <v>1</v>
      </c>
      <c r="R50" s="21"/>
    </row>
    <row r="51" spans="1:18" x14ac:dyDescent="0.3">
      <c r="A51" s="14">
        <v>7330</v>
      </c>
      <c r="B51" s="8" t="s">
        <v>96</v>
      </c>
      <c r="C51" s="15">
        <v>20268705</v>
      </c>
      <c r="D51" s="16">
        <v>8698902687058</v>
      </c>
      <c r="E51" s="14" t="s">
        <v>252</v>
      </c>
      <c r="F51" s="17" t="s">
        <v>253</v>
      </c>
      <c r="G51" s="18">
        <v>7</v>
      </c>
      <c r="H51" s="19">
        <v>7</v>
      </c>
      <c r="I51" s="18">
        <v>0</v>
      </c>
      <c r="J51" s="8" t="s">
        <v>100</v>
      </c>
      <c r="K51" s="14">
        <v>14999</v>
      </c>
      <c r="L51" s="14" t="s">
        <v>122</v>
      </c>
      <c r="M51" s="20" t="s">
        <v>237</v>
      </c>
      <c r="N51" s="14" t="s">
        <v>115</v>
      </c>
      <c r="O51" s="12">
        <f t="shared" si="0"/>
        <v>10</v>
      </c>
      <c r="P51" t="str">
        <f t="shared" si="1"/>
        <v>20268705</v>
      </c>
      <c r="Q51">
        <f t="shared" si="2"/>
        <v>0</v>
      </c>
      <c r="R51" s="21"/>
    </row>
    <row r="52" spans="1:18" x14ac:dyDescent="0.3">
      <c r="A52" s="14">
        <v>4623</v>
      </c>
      <c r="B52" s="8" t="s">
        <v>96</v>
      </c>
      <c r="C52" s="15">
        <v>20210059</v>
      </c>
      <c r="D52" s="16">
        <v>8698902100595</v>
      </c>
      <c r="E52" s="14" t="s">
        <v>254</v>
      </c>
      <c r="F52" s="17" t="s">
        <v>255</v>
      </c>
      <c r="G52" s="18">
        <v>1</v>
      </c>
      <c r="H52" s="19">
        <v>0</v>
      </c>
      <c r="I52" s="18">
        <v>0</v>
      </c>
      <c r="J52" s="8" t="s">
        <v>100</v>
      </c>
      <c r="K52" s="14">
        <v>12199</v>
      </c>
      <c r="L52" s="14" t="s">
        <v>122</v>
      </c>
      <c r="M52" s="20" t="s">
        <v>237</v>
      </c>
      <c r="N52" s="14" t="s">
        <v>115</v>
      </c>
      <c r="O52" s="12">
        <f t="shared" si="0"/>
        <v>10</v>
      </c>
      <c r="P52" t="str">
        <f t="shared" si="1"/>
        <v>20210059</v>
      </c>
      <c r="Q52">
        <f t="shared" si="2"/>
        <v>1</v>
      </c>
      <c r="R52" s="21"/>
    </row>
    <row r="53" spans="1:18" x14ac:dyDescent="0.3">
      <c r="A53" s="14">
        <v>6358</v>
      </c>
      <c r="B53" s="8" t="s">
        <v>96</v>
      </c>
      <c r="C53" s="15">
        <v>20264489</v>
      </c>
      <c r="D53" s="16">
        <v>8698902644891</v>
      </c>
      <c r="E53" s="14" t="s">
        <v>256</v>
      </c>
      <c r="F53" s="17" t="s">
        <v>257</v>
      </c>
      <c r="G53" s="18">
        <v>1</v>
      </c>
      <c r="H53" s="19">
        <v>0</v>
      </c>
      <c r="I53" s="18">
        <v>0</v>
      </c>
      <c r="J53" s="8" t="s">
        <v>100</v>
      </c>
      <c r="K53" s="14">
        <v>16299</v>
      </c>
      <c r="L53" s="14" t="s">
        <v>122</v>
      </c>
      <c r="M53" s="20" t="s">
        <v>237</v>
      </c>
      <c r="N53" s="14" t="s">
        <v>115</v>
      </c>
      <c r="O53" s="12">
        <f t="shared" si="0"/>
        <v>10</v>
      </c>
      <c r="P53" t="str">
        <f t="shared" si="1"/>
        <v>20264489</v>
      </c>
      <c r="Q53">
        <f t="shared" si="2"/>
        <v>1</v>
      </c>
      <c r="R53" s="21"/>
    </row>
    <row r="54" spans="1:18" x14ac:dyDescent="0.3">
      <c r="A54" s="14">
        <v>6637</v>
      </c>
      <c r="B54" s="8" t="s">
        <v>96</v>
      </c>
      <c r="C54" s="15">
        <v>20267393</v>
      </c>
      <c r="D54" s="16">
        <v>8698902673938</v>
      </c>
      <c r="E54" s="14" t="s">
        <v>258</v>
      </c>
      <c r="F54" s="17" t="s">
        <v>259</v>
      </c>
      <c r="G54" s="18">
        <v>31</v>
      </c>
      <c r="H54" s="19">
        <v>29</v>
      </c>
      <c r="I54" s="18">
        <v>2</v>
      </c>
      <c r="J54" s="8" t="s">
        <v>100</v>
      </c>
      <c r="K54" s="14">
        <v>13199</v>
      </c>
      <c r="L54" s="14" t="s">
        <v>122</v>
      </c>
      <c r="M54" s="20" t="s">
        <v>237</v>
      </c>
      <c r="N54" s="14" t="s">
        <v>115</v>
      </c>
      <c r="O54" s="12">
        <f t="shared" si="0"/>
        <v>10</v>
      </c>
      <c r="P54" t="str">
        <f t="shared" si="1"/>
        <v>20267393</v>
      </c>
      <c r="Q54">
        <f t="shared" si="2"/>
        <v>2</v>
      </c>
      <c r="R54" s="21"/>
    </row>
    <row r="55" spans="1:18" x14ac:dyDescent="0.3">
      <c r="A55" s="14">
        <v>6712</v>
      </c>
      <c r="B55" s="8" t="s">
        <v>96</v>
      </c>
      <c r="C55" s="15">
        <v>20267395</v>
      </c>
      <c r="D55" s="16">
        <v>8698902673952</v>
      </c>
      <c r="E55" s="14" t="s">
        <v>260</v>
      </c>
      <c r="F55" s="17" t="s">
        <v>261</v>
      </c>
      <c r="G55" s="18">
        <v>3</v>
      </c>
      <c r="H55" s="19">
        <v>1</v>
      </c>
      <c r="I55" s="18">
        <v>0</v>
      </c>
      <c r="J55" s="8" t="s">
        <v>100</v>
      </c>
      <c r="K55" s="14">
        <v>12949</v>
      </c>
      <c r="L55" s="14" t="s">
        <v>122</v>
      </c>
      <c r="M55" s="20" t="s">
        <v>237</v>
      </c>
      <c r="N55" s="14" t="s">
        <v>115</v>
      </c>
      <c r="O55" s="12">
        <f t="shared" si="0"/>
        <v>10</v>
      </c>
      <c r="P55" t="str">
        <f t="shared" si="1"/>
        <v>20267395</v>
      </c>
      <c r="Q55">
        <f t="shared" si="2"/>
        <v>2</v>
      </c>
      <c r="R55" s="21"/>
    </row>
    <row r="56" spans="1:18" x14ac:dyDescent="0.3">
      <c r="A56" s="14">
        <v>6878</v>
      </c>
      <c r="B56" s="8" t="s">
        <v>96</v>
      </c>
      <c r="C56" s="15">
        <v>20267492</v>
      </c>
      <c r="D56" s="16">
        <v>8698902674928</v>
      </c>
      <c r="E56" s="14" t="s">
        <v>262</v>
      </c>
      <c r="F56" s="17" t="s">
        <v>263</v>
      </c>
      <c r="G56" s="18">
        <v>16</v>
      </c>
      <c r="H56" s="19">
        <v>16</v>
      </c>
      <c r="I56" s="18">
        <v>1</v>
      </c>
      <c r="J56" s="8" t="s">
        <v>100</v>
      </c>
      <c r="K56" s="14">
        <v>10049</v>
      </c>
      <c r="L56" s="14" t="s">
        <v>122</v>
      </c>
      <c r="M56" s="20" t="s">
        <v>237</v>
      </c>
      <c r="N56" s="14" t="s">
        <v>115</v>
      </c>
      <c r="O56" s="12">
        <f t="shared" si="0"/>
        <v>10</v>
      </c>
      <c r="P56" t="str">
        <f t="shared" si="1"/>
        <v>20267492</v>
      </c>
      <c r="Q56">
        <f t="shared" si="2"/>
        <v>0</v>
      </c>
      <c r="R56" s="21"/>
    </row>
    <row r="57" spans="1:18" x14ac:dyDescent="0.3">
      <c r="A57" s="14">
        <v>7386</v>
      </c>
      <c r="B57" s="8" t="s">
        <v>96</v>
      </c>
      <c r="C57" s="15">
        <v>20268167</v>
      </c>
      <c r="D57" s="16">
        <v>8698902681674</v>
      </c>
      <c r="E57" s="14" t="s">
        <v>264</v>
      </c>
      <c r="F57" s="17" t="s">
        <v>265</v>
      </c>
      <c r="G57" s="18">
        <v>1</v>
      </c>
      <c r="H57" s="19">
        <v>1</v>
      </c>
      <c r="I57" s="18">
        <v>0</v>
      </c>
      <c r="J57" s="8" t="s">
        <v>100</v>
      </c>
      <c r="K57" s="14">
        <v>10349</v>
      </c>
      <c r="L57" s="14" t="s">
        <v>122</v>
      </c>
      <c r="M57" s="20" t="s">
        <v>237</v>
      </c>
      <c r="N57" s="14" t="s">
        <v>115</v>
      </c>
      <c r="O57" s="12">
        <f t="shared" si="0"/>
        <v>10</v>
      </c>
      <c r="P57" t="str">
        <f t="shared" si="1"/>
        <v>20268167</v>
      </c>
      <c r="Q57">
        <f t="shared" si="2"/>
        <v>0</v>
      </c>
      <c r="R57" s="21"/>
    </row>
    <row r="58" spans="1:18" x14ac:dyDescent="0.3">
      <c r="A58" s="14">
        <v>7345</v>
      </c>
      <c r="B58" s="8" t="s">
        <v>96</v>
      </c>
      <c r="C58" s="15">
        <v>20267491</v>
      </c>
      <c r="D58" s="16">
        <v>8698902674911</v>
      </c>
      <c r="E58" s="14" t="s">
        <v>266</v>
      </c>
      <c r="F58" s="17" t="s">
        <v>267</v>
      </c>
      <c r="G58" s="18">
        <v>12</v>
      </c>
      <c r="H58" s="19">
        <v>10</v>
      </c>
      <c r="I58" s="18">
        <v>0</v>
      </c>
      <c r="J58" s="8" t="s">
        <v>100</v>
      </c>
      <c r="K58" s="14">
        <v>10349</v>
      </c>
      <c r="L58" s="14" t="s">
        <v>122</v>
      </c>
      <c r="M58" s="20" t="s">
        <v>237</v>
      </c>
      <c r="N58" s="14" t="s">
        <v>115</v>
      </c>
      <c r="O58" s="12">
        <f t="shared" si="0"/>
        <v>10</v>
      </c>
      <c r="P58" t="str">
        <f t="shared" si="1"/>
        <v>20267491</v>
      </c>
      <c r="Q58">
        <f t="shared" si="2"/>
        <v>2</v>
      </c>
      <c r="R58" s="21"/>
    </row>
    <row r="59" spans="1:18" x14ac:dyDescent="0.3">
      <c r="A59" s="14">
        <v>7222</v>
      </c>
      <c r="B59" s="8" t="s">
        <v>96</v>
      </c>
      <c r="C59" s="15">
        <v>20267498</v>
      </c>
      <c r="D59" s="16">
        <v>8698902674980</v>
      </c>
      <c r="E59" s="14" t="s">
        <v>268</v>
      </c>
      <c r="F59" s="17" t="s">
        <v>269</v>
      </c>
      <c r="G59" s="18">
        <v>4</v>
      </c>
      <c r="H59" s="19">
        <v>4</v>
      </c>
      <c r="I59" s="18">
        <v>0</v>
      </c>
      <c r="J59" s="8" t="s">
        <v>100</v>
      </c>
      <c r="K59" s="14">
        <v>18399</v>
      </c>
      <c r="L59" s="14" t="s">
        <v>122</v>
      </c>
      <c r="M59" s="20" t="s">
        <v>237</v>
      </c>
      <c r="N59" s="14" t="s">
        <v>115</v>
      </c>
      <c r="O59" s="12">
        <f t="shared" si="0"/>
        <v>10</v>
      </c>
      <c r="P59" t="str">
        <f t="shared" si="1"/>
        <v>20267498</v>
      </c>
      <c r="Q59">
        <f t="shared" si="2"/>
        <v>0</v>
      </c>
      <c r="R59" s="21"/>
    </row>
    <row r="60" spans="1:18" x14ac:dyDescent="0.3">
      <c r="A60" s="14">
        <v>7223</v>
      </c>
      <c r="B60" s="8" t="s">
        <v>96</v>
      </c>
      <c r="C60" s="15">
        <v>20267497</v>
      </c>
      <c r="D60" s="16">
        <v>8698902674973</v>
      </c>
      <c r="E60" s="14" t="s">
        <v>270</v>
      </c>
      <c r="F60" s="17" t="s">
        <v>271</v>
      </c>
      <c r="G60" s="18">
        <v>3</v>
      </c>
      <c r="H60" s="19">
        <v>3</v>
      </c>
      <c r="I60" s="18">
        <v>0</v>
      </c>
      <c r="J60" s="8" t="s">
        <v>100</v>
      </c>
      <c r="K60" s="14">
        <v>18399</v>
      </c>
      <c r="L60" s="14" t="s">
        <v>122</v>
      </c>
      <c r="M60" s="20" t="s">
        <v>237</v>
      </c>
      <c r="N60" s="14" t="s">
        <v>115</v>
      </c>
      <c r="O60" s="12">
        <f t="shared" si="0"/>
        <v>10</v>
      </c>
      <c r="P60" t="str">
        <f t="shared" si="1"/>
        <v>20267497</v>
      </c>
      <c r="Q60">
        <f t="shared" si="2"/>
        <v>0</v>
      </c>
      <c r="R60" s="21"/>
    </row>
    <row r="61" spans="1:18" x14ac:dyDescent="0.3">
      <c r="A61" s="14">
        <v>4800</v>
      </c>
      <c r="B61" s="8" t="s">
        <v>96</v>
      </c>
      <c r="C61" s="15">
        <v>20210073</v>
      </c>
      <c r="D61" s="16">
        <v>8698902100731</v>
      </c>
      <c r="E61" s="14" t="s">
        <v>272</v>
      </c>
      <c r="F61" s="17" t="s">
        <v>273</v>
      </c>
      <c r="G61" s="18">
        <v>3</v>
      </c>
      <c r="H61" s="19">
        <v>2</v>
      </c>
      <c r="I61" s="18">
        <v>0</v>
      </c>
      <c r="J61" s="8" t="s">
        <v>100</v>
      </c>
      <c r="K61" s="14">
        <v>13199</v>
      </c>
      <c r="L61" s="14" t="s">
        <v>122</v>
      </c>
      <c r="M61" s="20" t="s">
        <v>237</v>
      </c>
      <c r="N61" s="14" t="s">
        <v>115</v>
      </c>
      <c r="O61" s="12">
        <f t="shared" si="0"/>
        <v>10</v>
      </c>
      <c r="P61" t="str">
        <f t="shared" si="1"/>
        <v>20210073</v>
      </c>
      <c r="Q61">
        <f t="shared" si="2"/>
        <v>1</v>
      </c>
      <c r="R61" s="21"/>
    </row>
    <row r="62" spans="1:18" x14ac:dyDescent="0.3">
      <c r="A62" s="14">
        <v>3562</v>
      </c>
      <c r="B62" s="8" t="s">
        <v>96</v>
      </c>
      <c r="C62" s="15">
        <v>20218595</v>
      </c>
      <c r="D62" s="16">
        <v>8698902185950</v>
      </c>
      <c r="E62" s="14" t="s">
        <v>274</v>
      </c>
      <c r="F62" s="17" t="s">
        <v>275</v>
      </c>
      <c r="G62" s="18">
        <v>1</v>
      </c>
      <c r="H62" s="19">
        <v>0</v>
      </c>
      <c r="I62" s="18">
        <v>0</v>
      </c>
      <c r="J62" s="8" t="s">
        <v>100</v>
      </c>
      <c r="K62" s="14">
        <v>12199</v>
      </c>
      <c r="L62" s="14" t="s">
        <v>122</v>
      </c>
      <c r="M62" s="20" t="s">
        <v>237</v>
      </c>
      <c r="N62" s="14" t="s">
        <v>115</v>
      </c>
      <c r="O62" s="12">
        <f t="shared" si="0"/>
        <v>10</v>
      </c>
      <c r="P62" t="str">
        <f t="shared" si="1"/>
        <v>20218595</v>
      </c>
      <c r="Q62">
        <f t="shared" si="2"/>
        <v>1</v>
      </c>
      <c r="R62" s="21"/>
    </row>
    <row r="63" spans="1:18" x14ac:dyDescent="0.3">
      <c r="A63" s="14">
        <v>4851</v>
      </c>
      <c r="B63" s="8" t="s">
        <v>96</v>
      </c>
      <c r="C63" s="15">
        <v>20218604</v>
      </c>
      <c r="D63" s="16">
        <v>8698902186049</v>
      </c>
      <c r="E63" s="14" t="s">
        <v>276</v>
      </c>
      <c r="F63" s="17" t="s">
        <v>277</v>
      </c>
      <c r="G63" s="18">
        <v>1</v>
      </c>
      <c r="H63" s="19">
        <v>0</v>
      </c>
      <c r="I63" s="18">
        <v>0</v>
      </c>
      <c r="J63" s="8" t="s">
        <v>100</v>
      </c>
      <c r="K63" s="14">
        <v>16899</v>
      </c>
      <c r="L63" s="14" t="s">
        <v>122</v>
      </c>
      <c r="M63" s="20" t="s">
        <v>237</v>
      </c>
      <c r="N63" s="14" t="s">
        <v>115</v>
      </c>
      <c r="O63" s="12">
        <f t="shared" si="0"/>
        <v>10</v>
      </c>
      <c r="P63" t="str">
        <f t="shared" si="1"/>
        <v>20218604</v>
      </c>
      <c r="Q63">
        <f t="shared" si="2"/>
        <v>1</v>
      </c>
      <c r="R63" s="21"/>
    </row>
    <row r="64" spans="1:18" x14ac:dyDescent="0.3">
      <c r="A64" s="14">
        <v>6939</v>
      </c>
      <c r="B64" s="8" t="s">
        <v>96</v>
      </c>
      <c r="C64" s="15">
        <v>20267496</v>
      </c>
      <c r="D64" s="16">
        <v>8698902674966</v>
      </c>
      <c r="E64" s="14" t="s">
        <v>278</v>
      </c>
      <c r="F64" s="17" t="s">
        <v>279</v>
      </c>
      <c r="G64" s="18">
        <v>7</v>
      </c>
      <c r="H64" s="19">
        <v>7</v>
      </c>
      <c r="I64" s="18">
        <v>0</v>
      </c>
      <c r="J64" s="8" t="s">
        <v>100</v>
      </c>
      <c r="K64" s="14">
        <v>18399</v>
      </c>
      <c r="L64" s="14" t="s">
        <v>122</v>
      </c>
      <c r="M64" s="20" t="s">
        <v>237</v>
      </c>
      <c r="N64" s="14" t="s">
        <v>115</v>
      </c>
      <c r="O64" s="12">
        <f t="shared" si="0"/>
        <v>10</v>
      </c>
      <c r="P64" t="str">
        <f t="shared" si="1"/>
        <v>20267496</v>
      </c>
      <c r="Q64">
        <f t="shared" si="2"/>
        <v>0</v>
      </c>
      <c r="R64" s="21"/>
    </row>
    <row r="65" spans="1:18" x14ac:dyDescent="0.3">
      <c r="A65" s="14">
        <v>5861</v>
      </c>
      <c r="B65" s="8" t="s">
        <v>96</v>
      </c>
      <c r="C65" s="15">
        <v>20264334</v>
      </c>
      <c r="D65" s="16">
        <v>8698902643344</v>
      </c>
      <c r="E65" s="14" t="s">
        <v>280</v>
      </c>
      <c r="F65" s="17" t="s">
        <v>281</v>
      </c>
      <c r="G65" s="18">
        <v>1</v>
      </c>
      <c r="H65" s="19">
        <v>0</v>
      </c>
      <c r="I65" s="18">
        <v>0</v>
      </c>
      <c r="J65" s="8" t="s">
        <v>100</v>
      </c>
      <c r="K65" s="14">
        <v>14349</v>
      </c>
      <c r="L65" s="14" t="s">
        <v>164</v>
      </c>
      <c r="M65" s="20" t="s">
        <v>237</v>
      </c>
      <c r="N65" s="14" t="s">
        <v>115</v>
      </c>
      <c r="O65" s="12">
        <f t="shared" si="0"/>
        <v>10</v>
      </c>
      <c r="P65" t="str">
        <f t="shared" si="1"/>
        <v>20264334</v>
      </c>
      <c r="Q65">
        <f t="shared" si="2"/>
        <v>1</v>
      </c>
      <c r="R65" s="21"/>
    </row>
    <row r="66" spans="1:18" x14ac:dyDescent="0.3">
      <c r="A66" s="14">
        <v>5747</v>
      </c>
      <c r="B66" s="8" t="s">
        <v>96</v>
      </c>
      <c r="C66" s="15">
        <v>20264333</v>
      </c>
      <c r="D66" s="16">
        <v>8698902643337</v>
      </c>
      <c r="E66" s="14" t="s">
        <v>282</v>
      </c>
      <c r="F66" s="17" t="s">
        <v>283</v>
      </c>
      <c r="G66" s="18">
        <v>16</v>
      </c>
      <c r="H66" s="19">
        <v>14</v>
      </c>
      <c r="I66" s="18">
        <v>0</v>
      </c>
      <c r="J66" s="8" t="s">
        <v>100</v>
      </c>
      <c r="K66" s="14">
        <v>14699</v>
      </c>
      <c r="L66" s="14" t="s">
        <v>164</v>
      </c>
      <c r="M66" s="20" t="s">
        <v>237</v>
      </c>
      <c r="N66" s="14" t="s">
        <v>115</v>
      </c>
      <c r="O66" s="12">
        <f t="shared" si="0"/>
        <v>10</v>
      </c>
      <c r="P66" t="str">
        <f t="shared" si="1"/>
        <v>20264333</v>
      </c>
      <c r="Q66">
        <f t="shared" si="2"/>
        <v>2</v>
      </c>
      <c r="R66" s="21"/>
    </row>
    <row r="67" spans="1:18" x14ac:dyDescent="0.3">
      <c r="A67" s="14">
        <v>5495</v>
      </c>
      <c r="B67" s="8" t="s">
        <v>96</v>
      </c>
      <c r="C67" s="15">
        <v>20262710</v>
      </c>
      <c r="D67" s="16">
        <v>8698902627108</v>
      </c>
      <c r="E67" s="14" t="s">
        <v>284</v>
      </c>
      <c r="F67" s="17" t="s">
        <v>285</v>
      </c>
      <c r="G67" s="18">
        <v>11</v>
      </c>
      <c r="H67" s="19">
        <v>9</v>
      </c>
      <c r="I67" s="18">
        <v>0</v>
      </c>
      <c r="J67" s="8" t="s">
        <v>100</v>
      </c>
      <c r="K67" s="14">
        <v>20399</v>
      </c>
      <c r="L67" s="14" t="s">
        <v>164</v>
      </c>
      <c r="M67" s="20" t="s">
        <v>237</v>
      </c>
      <c r="N67" s="14" t="s">
        <v>115</v>
      </c>
      <c r="O67" s="12">
        <f t="shared" ref="O67:O130" si="3">IF(C67&gt;0,10-COUNTIF(AM67:AW67,"-"),"")</f>
        <v>10</v>
      </c>
      <c r="P67" t="str">
        <f t="shared" si="1"/>
        <v>20262710</v>
      </c>
      <c r="Q67">
        <f t="shared" ref="Q67:Q130" si="4">G67-H67</f>
        <v>2</v>
      </c>
      <c r="R67" s="21"/>
    </row>
    <row r="68" spans="1:18" x14ac:dyDescent="0.3">
      <c r="A68" s="14">
        <v>5802</v>
      </c>
      <c r="B68" s="8" t="s">
        <v>96</v>
      </c>
      <c r="C68" s="15">
        <v>20263879</v>
      </c>
      <c r="D68" s="16">
        <v>8698902638791</v>
      </c>
      <c r="E68" s="14" t="s">
        <v>286</v>
      </c>
      <c r="F68" s="17" t="s">
        <v>287</v>
      </c>
      <c r="G68" s="18">
        <v>2</v>
      </c>
      <c r="H68" s="19">
        <v>0</v>
      </c>
      <c r="I68" s="18">
        <v>0</v>
      </c>
      <c r="J68" s="8" t="s">
        <v>100</v>
      </c>
      <c r="K68" s="14">
        <v>28149</v>
      </c>
      <c r="L68" s="14" t="s">
        <v>164</v>
      </c>
      <c r="M68" s="20" t="s">
        <v>237</v>
      </c>
      <c r="N68" s="14" t="s">
        <v>115</v>
      </c>
      <c r="O68" s="12">
        <f t="shared" si="3"/>
        <v>10</v>
      </c>
      <c r="P68" t="str">
        <f t="shared" ref="P68:P131" si="5">IF(LEFT(C68,2)="SM",CONCATENATE(LEFT(C68,7),"✦",MID(C68,11,1)),LEFT(C68,9))</f>
        <v>20263879</v>
      </c>
      <c r="Q68">
        <f t="shared" si="4"/>
        <v>2</v>
      </c>
      <c r="R68" s="21"/>
    </row>
    <row r="69" spans="1:18" x14ac:dyDescent="0.3">
      <c r="A69" s="14">
        <v>5709</v>
      </c>
      <c r="B69" s="8" t="s">
        <v>96</v>
      </c>
      <c r="C69" s="15">
        <v>20262708</v>
      </c>
      <c r="D69" s="16">
        <v>8698902627085</v>
      </c>
      <c r="E69" s="14" t="s">
        <v>288</v>
      </c>
      <c r="F69" s="17" t="s">
        <v>289</v>
      </c>
      <c r="G69" s="18">
        <v>2</v>
      </c>
      <c r="H69" s="19">
        <v>2</v>
      </c>
      <c r="I69" s="18">
        <v>0</v>
      </c>
      <c r="J69" s="8" t="s">
        <v>100</v>
      </c>
      <c r="K69" s="14">
        <v>28149</v>
      </c>
      <c r="L69" s="14" t="s">
        <v>164</v>
      </c>
      <c r="M69" s="20" t="s">
        <v>237</v>
      </c>
      <c r="N69" s="14" t="s">
        <v>115</v>
      </c>
      <c r="O69" s="12">
        <f t="shared" si="3"/>
        <v>10</v>
      </c>
      <c r="P69" t="str">
        <f t="shared" si="5"/>
        <v>20262708</v>
      </c>
      <c r="Q69">
        <f t="shared" si="4"/>
        <v>0</v>
      </c>
      <c r="R69" s="21"/>
    </row>
    <row r="70" spans="1:18" x14ac:dyDescent="0.3">
      <c r="A70" s="14">
        <v>5637</v>
      </c>
      <c r="B70" s="8" t="s">
        <v>96</v>
      </c>
      <c r="C70" s="15">
        <v>20263232</v>
      </c>
      <c r="D70" s="16">
        <v>8698902632324</v>
      </c>
      <c r="E70" s="14" t="s">
        <v>290</v>
      </c>
      <c r="F70" s="17" t="s">
        <v>291</v>
      </c>
      <c r="G70" s="18">
        <v>2</v>
      </c>
      <c r="H70" s="19">
        <v>1</v>
      </c>
      <c r="I70" s="18">
        <v>0</v>
      </c>
      <c r="J70" s="8" t="s">
        <v>100</v>
      </c>
      <c r="K70" s="14">
        <v>24699</v>
      </c>
      <c r="L70" s="14" t="s">
        <v>164</v>
      </c>
      <c r="M70" s="20" t="s">
        <v>237</v>
      </c>
      <c r="N70" s="14" t="s">
        <v>115</v>
      </c>
      <c r="O70" s="12">
        <f t="shared" si="3"/>
        <v>10</v>
      </c>
      <c r="P70" t="str">
        <f t="shared" si="5"/>
        <v>20263232</v>
      </c>
      <c r="Q70">
        <f t="shared" si="4"/>
        <v>1</v>
      </c>
      <c r="R70" s="21"/>
    </row>
    <row r="71" spans="1:18" x14ac:dyDescent="0.3">
      <c r="A71" s="14">
        <v>5857</v>
      </c>
      <c r="B71" s="8" t="s">
        <v>96</v>
      </c>
      <c r="C71" s="15">
        <v>20264178</v>
      </c>
      <c r="D71" s="16">
        <v>8698902641784</v>
      </c>
      <c r="E71" s="14" t="s">
        <v>292</v>
      </c>
      <c r="F71" s="17" t="s">
        <v>293</v>
      </c>
      <c r="G71" s="18">
        <v>2</v>
      </c>
      <c r="H71" s="19">
        <v>1</v>
      </c>
      <c r="I71" s="18">
        <v>0</v>
      </c>
      <c r="J71" s="8" t="s">
        <v>100</v>
      </c>
      <c r="K71" s="14">
        <v>35899</v>
      </c>
      <c r="L71" s="14" t="s">
        <v>164</v>
      </c>
      <c r="M71" s="20" t="s">
        <v>237</v>
      </c>
      <c r="N71" s="14" t="s">
        <v>115</v>
      </c>
      <c r="O71" s="12">
        <f t="shared" si="3"/>
        <v>10</v>
      </c>
      <c r="P71" t="str">
        <f t="shared" si="5"/>
        <v>20264178</v>
      </c>
      <c r="Q71">
        <f t="shared" si="4"/>
        <v>1</v>
      </c>
      <c r="R71" s="21"/>
    </row>
    <row r="72" spans="1:18" x14ac:dyDescent="0.3">
      <c r="A72" s="14">
        <v>7506</v>
      </c>
      <c r="B72" s="8" t="s">
        <v>96</v>
      </c>
      <c r="C72" s="15">
        <v>20350219</v>
      </c>
      <c r="D72" s="16">
        <v>8698902012218</v>
      </c>
      <c r="E72" s="14" t="s">
        <v>294</v>
      </c>
      <c r="F72" s="17" t="s">
        <v>295</v>
      </c>
      <c r="G72" s="18">
        <v>19</v>
      </c>
      <c r="H72" s="19">
        <v>18</v>
      </c>
      <c r="I72" s="18">
        <v>0</v>
      </c>
      <c r="J72" s="8" t="s">
        <v>100</v>
      </c>
      <c r="K72" s="14">
        <v>19999</v>
      </c>
      <c r="L72" s="14" t="s">
        <v>164</v>
      </c>
      <c r="M72" s="20" t="s">
        <v>237</v>
      </c>
      <c r="N72" s="14" t="s">
        <v>115</v>
      </c>
      <c r="O72" s="12">
        <f t="shared" si="3"/>
        <v>10</v>
      </c>
      <c r="P72" t="str">
        <f t="shared" si="5"/>
        <v>20350219</v>
      </c>
      <c r="Q72">
        <f t="shared" si="4"/>
        <v>1</v>
      </c>
      <c r="R72" s="21"/>
    </row>
    <row r="73" spans="1:18" x14ac:dyDescent="0.3">
      <c r="A73" s="14">
        <v>6887</v>
      </c>
      <c r="B73" s="8" t="s">
        <v>96</v>
      </c>
      <c r="C73" s="15">
        <v>20267455</v>
      </c>
      <c r="D73" s="16">
        <v>8698902674553</v>
      </c>
      <c r="E73" s="14" t="s">
        <v>296</v>
      </c>
      <c r="F73" s="17" t="s">
        <v>297</v>
      </c>
      <c r="G73" s="18">
        <v>1</v>
      </c>
      <c r="H73" s="19">
        <v>0</v>
      </c>
      <c r="I73" s="18">
        <v>1</v>
      </c>
      <c r="J73" s="8" t="s">
        <v>100</v>
      </c>
      <c r="K73" s="14">
        <v>18099</v>
      </c>
      <c r="L73" s="14" t="s">
        <v>164</v>
      </c>
      <c r="M73" s="20" t="s">
        <v>237</v>
      </c>
      <c r="N73" s="14" t="s">
        <v>115</v>
      </c>
      <c r="O73" s="12">
        <f t="shared" si="3"/>
        <v>10</v>
      </c>
      <c r="P73" t="str">
        <f t="shared" si="5"/>
        <v>20267455</v>
      </c>
      <c r="Q73">
        <f t="shared" si="4"/>
        <v>1</v>
      </c>
      <c r="R73" s="21"/>
    </row>
    <row r="74" spans="1:18" x14ac:dyDescent="0.3">
      <c r="A74" s="14">
        <v>5157</v>
      </c>
      <c r="B74" s="8" t="s">
        <v>96</v>
      </c>
      <c r="C74" s="15">
        <v>20262712</v>
      </c>
      <c r="D74" s="16">
        <v>8698902627122</v>
      </c>
      <c r="E74" s="14" t="s">
        <v>298</v>
      </c>
      <c r="F74" s="17" t="s">
        <v>299</v>
      </c>
      <c r="G74" s="18">
        <v>4</v>
      </c>
      <c r="H74" s="19">
        <v>3</v>
      </c>
      <c r="I74" s="18">
        <v>0</v>
      </c>
      <c r="J74" s="8" t="s">
        <v>100</v>
      </c>
      <c r="K74" s="14">
        <v>18099</v>
      </c>
      <c r="L74" s="14" t="s">
        <v>164</v>
      </c>
      <c r="M74" s="20" t="s">
        <v>237</v>
      </c>
      <c r="N74" s="14" t="s">
        <v>115</v>
      </c>
      <c r="O74" s="12">
        <f t="shared" si="3"/>
        <v>10</v>
      </c>
      <c r="P74" t="str">
        <f t="shared" si="5"/>
        <v>20262712</v>
      </c>
      <c r="Q74">
        <f t="shared" si="4"/>
        <v>1</v>
      </c>
      <c r="R74" s="21"/>
    </row>
    <row r="75" spans="1:18" x14ac:dyDescent="0.3">
      <c r="A75" s="14">
        <v>4808</v>
      </c>
      <c r="B75" s="8" t="s">
        <v>96</v>
      </c>
      <c r="C75" s="15">
        <v>20210203</v>
      </c>
      <c r="D75" s="16">
        <v>8698902102032</v>
      </c>
      <c r="E75" s="14" t="s">
        <v>300</v>
      </c>
      <c r="F75" s="17" t="s">
        <v>301</v>
      </c>
      <c r="G75" s="18">
        <v>1</v>
      </c>
      <c r="H75" s="19">
        <v>0</v>
      </c>
      <c r="I75" s="18">
        <v>0</v>
      </c>
      <c r="J75" s="8" t="s">
        <v>100</v>
      </c>
      <c r="K75" s="14">
        <v>24149</v>
      </c>
      <c r="L75" s="14" t="s">
        <v>164</v>
      </c>
      <c r="M75" s="20" t="s">
        <v>237</v>
      </c>
      <c r="N75" s="14" t="s">
        <v>115</v>
      </c>
      <c r="O75" s="12">
        <f t="shared" si="3"/>
        <v>10</v>
      </c>
      <c r="P75" t="str">
        <f t="shared" si="5"/>
        <v>20210203</v>
      </c>
      <c r="Q75">
        <f t="shared" si="4"/>
        <v>1</v>
      </c>
      <c r="R75" s="21"/>
    </row>
    <row r="76" spans="1:18" x14ac:dyDescent="0.3">
      <c r="A76" s="14">
        <v>4568</v>
      </c>
      <c r="B76" s="8" t="s">
        <v>96</v>
      </c>
      <c r="C76" s="15">
        <v>20219988</v>
      </c>
      <c r="D76" s="16">
        <v>8698902199889</v>
      </c>
      <c r="E76" s="14" t="s">
        <v>302</v>
      </c>
      <c r="F76" s="17" t="s">
        <v>303</v>
      </c>
      <c r="G76" s="18">
        <v>7</v>
      </c>
      <c r="H76" s="19">
        <v>5</v>
      </c>
      <c r="I76" s="18">
        <v>0</v>
      </c>
      <c r="J76" s="8" t="s">
        <v>100</v>
      </c>
      <c r="K76" s="14">
        <v>23849</v>
      </c>
      <c r="L76" s="14" t="s">
        <v>164</v>
      </c>
      <c r="M76" s="20" t="s">
        <v>237</v>
      </c>
      <c r="N76" s="14" t="s">
        <v>115</v>
      </c>
      <c r="O76" s="12">
        <f t="shared" si="3"/>
        <v>10</v>
      </c>
      <c r="P76" t="str">
        <f t="shared" si="5"/>
        <v>20219988</v>
      </c>
      <c r="Q76">
        <f t="shared" si="4"/>
        <v>2</v>
      </c>
      <c r="R76" s="21"/>
    </row>
    <row r="77" spans="1:18" x14ac:dyDescent="0.3">
      <c r="A77" s="14">
        <v>7062</v>
      </c>
      <c r="B77" s="8" t="s">
        <v>96</v>
      </c>
      <c r="C77" s="15">
        <v>20268366</v>
      </c>
      <c r="D77" s="16">
        <v>8698902683661</v>
      </c>
      <c r="E77" s="14" t="s">
        <v>304</v>
      </c>
      <c r="F77" s="17" t="s">
        <v>305</v>
      </c>
      <c r="G77" s="18">
        <v>5</v>
      </c>
      <c r="H77" s="19">
        <v>4</v>
      </c>
      <c r="I77" s="18">
        <v>0</v>
      </c>
      <c r="J77" s="8" t="s">
        <v>100</v>
      </c>
      <c r="K77" s="14">
        <v>20399</v>
      </c>
      <c r="L77" s="14" t="s">
        <v>164</v>
      </c>
      <c r="M77" s="20" t="s">
        <v>237</v>
      </c>
      <c r="N77" s="14" t="s">
        <v>115</v>
      </c>
      <c r="O77" s="12">
        <f t="shared" si="3"/>
        <v>10</v>
      </c>
      <c r="P77" t="str">
        <f t="shared" si="5"/>
        <v>20268366</v>
      </c>
      <c r="Q77">
        <f t="shared" si="4"/>
        <v>1</v>
      </c>
      <c r="R77" s="21"/>
    </row>
    <row r="78" spans="1:18" x14ac:dyDescent="0.3">
      <c r="A78" s="14">
        <v>7100</v>
      </c>
      <c r="B78" s="8" t="s">
        <v>96</v>
      </c>
      <c r="C78" s="15">
        <v>20268367</v>
      </c>
      <c r="D78" s="16">
        <v>8698902683678</v>
      </c>
      <c r="E78" s="14" t="s">
        <v>306</v>
      </c>
      <c r="F78" s="17" t="s">
        <v>307</v>
      </c>
      <c r="G78" s="18">
        <v>3</v>
      </c>
      <c r="H78" s="19">
        <v>3</v>
      </c>
      <c r="I78" s="18">
        <v>0</v>
      </c>
      <c r="J78" s="8" t="s">
        <v>100</v>
      </c>
      <c r="K78" s="14">
        <v>20399</v>
      </c>
      <c r="L78" s="14" t="s">
        <v>164</v>
      </c>
      <c r="M78" s="20" t="s">
        <v>237</v>
      </c>
      <c r="N78" s="14" t="s">
        <v>115</v>
      </c>
      <c r="O78" s="12">
        <f t="shared" si="3"/>
        <v>10</v>
      </c>
      <c r="P78" t="str">
        <f t="shared" si="5"/>
        <v>20268367</v>
      </c>
      <c r="Q78">
        <f t="shared" si="4"/>
        <v>0</v>
      </c>
      <c r="R78" s="21"/>
    </row>
    <row r="79" spans="1:18" x14ac:dyDescent="0.3">
      <c r="A79" s="14">
        <v>7063</v>
      </c>
      <c r="B79" s="8" t="s">
        <v>96</v>
      </c>
      <c r="C79" s="15">
        <v>20268365</v>
      </c>
      <c r="D79" s="16">
        <v>8698902683654</v>
      </c>
      <c r="E79" s="14" t="s">
        <v>308</v>
      </c>
      <c r="F79" s="17" t="s">
        <v>309</v>
      </c>
      <c r="G79" s="18">
        <v>4</v>
      </c>
      <c r="H79" s="19">
        <v>3</v>
      </c>
      <c r="I79" s="18">
        <v>0</v>
      </c>
      <c r="J79" s="8" t="s">
        <v>100</v>
      </c>
      <c r="K79" s="14">
        <v>20399</v>
      </c>
      <c r="L79" s="14" t="s">
        <v>164</v>
      </c>
      <c r="M79" s="20" t="s">
        <v>237</v>
      </c>
      <c r="N79" s="14" t="s">
        <v>115</v>
      </c>
      <c r="O79" s="12">
        <f t="shared" si="3"/>
        <v>10</v>
      </c>
      <c r="P79" t="str">
        <f t="shared" si="5"/>
        <v>20268365</v>
      </c>
      <c r="Q79">
        <f t="shared" si="4"/>
        <v>1</v>
      </c>
      <c r="R79" s="21"/>
    </row>
    <row r="80" spans="1:18" x14ac:dyDescent="0.3">
      <c r="A80" s="14">
        <v>6281</v>
      </c>
      <c r="B80" s="8" t="s">
        <v>96</v>
      </c>
      <c r="C80" s="15">
        <v>20264700</v>
      </c>
      <c r="D80" s="16">
        <v>8698902647007</v>
      </c>
      <c r="E80" s="14" t="s">
        <v>310</v>
      </c>
      <c r="F80" s="17" t="s">
        <v>311</v>
      </c>
      <c r="G80" s="18">
        <v>1</v>
      </c>
      <c r="H80" s="19">
        <v>0</v>
      </c>
      <c r="I80" s="18">
        <v>0</v>
      </c>
      <c r="J80" s="8" t="s">
        <v>100</v>
      </c>
      <c r="K80" s="14">
        <v>25599</v>
      </c>
      <c r="L80" s="14" t="s">
        <v>164</v>
      </c>
      <c r="M80" s="20" t="s">
        <v>237</v>
      </c>
      <c r="N80" s="14" t="s">
        <v>115</v>
      </c>
      <c r="O80" s="12">
        <f t="shared" si="3"/>
        <v>10</v>
      </c>
      <c r="P80" t="str">
        <f t="shared" si="5"/>
        <v>20264700</v>
      </c>
      <c r="Q80">
        <f t="shared" si="4"/>
        <v>1</v>
      </c>
      <c r="R80" s="21"/>
    </row>
    <row r="81" spans="1:18" x14ac:dyDescent="0.3">
      <c r="A81" s="14">
        <v>6018</v>
      </c>
      <c r="B81" s="8" t="s">
        <v>96</v>
      </c>
      <c r="C81" s="15">
        <v>20264702</v>
      </c>
      <c r="D81" s="16">
        <v>8698902647021</v>
      </c>
      <c r="E81" s="14" t="s">
        <v>312</v>
      </c>
      <c r="F81" s="17" t="s">
        <v>313</v>
      </c>
      <c r="G81" s="18">
        <v>1</v>
      </c>
      <c r="H81" s="19">
        <v>0</v>
      </c>
      <c r="I81" s="18">
        <v>0</v>
      </c>
      <c r="J81" s="8" t="s">
        <v>100</v>
      </c>
      <c r="K81" s="14">
        <v>25599</v>
      </c>
      <c r="L81" s="14" t="s">
        <v>164</v>
      </c>
      <c r="M81" s="20" t="s">
        <v>237</v>
      </c>
      <c r="N81" s="14" t="s">
        <v>115</v>
      </c>
      <c r="O81" s="12">
        <f t="shared" si="3"/>
        <v>10</v>
      </c>
      <c r="P81" t="str">
        <f t="shared" si="5"/>
        <v>20264702</v>
      </c>
      <c r="Q81">
        <f t="shared" si="4"/>
        <v>1</v>
      </c>
      <c r="R81" s="21"/>
    </row>
    <row r="82" spans="1:18" x14ac:dyDescent="0.3">
      <c r="A82" s="14">
        <v>6836</v>
      </c>
      <c r="B82" s="8" t="s">
        <v>96</v>
      </c>
      <c r="C82" s="15">
        <v>20265806</v>
      </c>
      <c r="D82" s="16">
        <v>8698902658065</v>
      </c>
      <c r="E82" s="14" t="s">
        <v>314</v>
      </c>
      <c r="F82" s="17" t="s">
        <v>315</v>
      </c>
      <c r="G82" s="18">
        <v>3</v>
      </c>
      <c r="H82" s="19">
        <v>3</v>
      </c>
      <c r="I82" s="18">
        <v>0</v>
      </c>
      <c r="J82" s="8" t="s">
        <v>100</v>
      </c>
      <c r="K82" s="14">
        <v>25599</v>
      </c>
      <c r="L82" s="14" t="s">
        <v>164</v>
      </c>
      <c r="M82" s="20" t="s">
        <v>237</v>
      </c>
      <c r="N82" s="14" t="s">
        <v>115</v>
      </c>
      <c r="O82" s="12">
        <f t="shared" si="3"/>
        <v>10</v>
      </c>
      <c r="P82" t="str">
        <f t="shared" si="5"/>
        <v>20265806</v>
      </c>
      <c r="Q82">
        <f t="shared" si="4"/>
        <v>0</v>
      </c>
      <c r="R82" s="21"/>
    </row>
    <row r="83" spans="1:18" x14ac:dyDescent="0.3">
      <c r="A83" s="14">
        <v>6874</v>
      </c>
      <c r="B83" s="8" t="s">
        <v>96</v>
      </c>
      <c r="C83" s="15">
        <v>20265805</v>
      </c>
      <c r="D83" s="16">
        <v>8698902658058</v>
      </c>
      <c r="E83" s="14" t="s">
        <v>316</v>
      </c>
      <c r="F83" s="17" t="s">
        <v>317</v>
      </c>
      <c r="G83" s="18">
        <v>3</v>
      </c>
      <c r="H83" s="19">
        <v>3</v>
      </c>
      <c r="I83" s="18">
        <v>0</v>
      </c>
      <c r="J83" s="8" t="s">
        <v>100</v>
      </c>
      <c r="K83" s="14">
        <v>25599</v>
      </c>
      <c r="L83" s="14" t="s">
        <v>164</v>
      </c>
      <c r="M83" s="20" t="s">
        <v>237</v>
      </c>
      <c r="N83" s="14" t="s">
        <v>115</v>
      </c>
      <c r="O83" s="12">
        <f t="shared" si="3"/>
        <v>10</v>
      </c>
      <c r="P83" t="str">
        <f t="shared" si="5"/>
        <v>20265805</v>
      </c>
      <c r="Q83">
        <f t="shared" si="4"/>
        <v>0</v>
      </c>
      <c r="R83" s="21"/>
    </row>
    <row r="84" spans="1:18" x14ac:dyDescent="0.3">
      <c r="A84" s="14">
        <v>4038</v>
      </c>
      <c r="B84" s="8" t="s">
        <v>96</v>
      </c>
      <c r="C84" s="15">
        <v>20218471</v>
      </c>
      <c r="D84" s="16">
        <v>8698902184717</v>
      </c>
      <c r="E84" s="14" t="s">
        <v>318</v>
      </c>
      <c r="F84" s="17" t="s">
        <v>319</v>
      </c>
      <c r="G84" s="18">
        <v>1</v>
      </c>
      <c r="H84" s="19">
        <v>0</v>
      </c>
      <c r="I84" s="18">
        <v>0</v>
      </c>
      <c r="J84" s="8" t="s">
        <v>100</v>
      </c>
      <c r="K84" s="14">
        <v>11499</v>
      </c>
      <c r="L84" s="14" t="s">
        <v>164</v>
      </c>
      <c r="M84" s="20" t="s">
        <v>237</v>
      </c>
      <c r="N84" s="14" t="s">
        <v>115</v>
      </c>
      <c r="O84" s="12">
        <f t="shared" si="3"/>
        <v>10</v>
      </c>
      <c r="P84" t="str">
        <f t="shared" si="5"/>
        <v>20218471</v>
      </c>
      <c r="Q84">
        <f t="shared" si="4"/>
        <v>1</v>
      </c>
      <c r="R84" s="21"/>
    </row>
    <row r="85" spans="1:18" x14ac:dyDescent="0.3">
      <c r="A85" s="14">
        <v>5488</v>
      </c>
      <c r="B85" s="8" t="s">
        <v>96</v>
      </c>
      <c r="C85" s="15">
        <v>20262715</v>
      </c>
      <c r="D85" s="16">
        <v>8698902627153</v>
      </c>
      <c r="E85" s="14" t="s">
        <v>320</v>
      </c>
      <c r="F85" s="17" t="s">
        <v>321</v>
      </c>
      <c r="G85" s="18">
        <v>21</v>
      </c>
      <c r="H85" s="19">
        <v>20</v>
      </c>
      <c r="I85" s="18">
        <v>1</v>
      </c>
      <c r="J85" s="8" t="s">
        <v>100</v>
      </c>
      <c r="K85" s="14">
        <v>19549</v>
      </c>
      <c r="L85" s="14" t="s">
        <v>164</v>
      </c>
      <c r="M85" s="20" t="s">
        <v>237</v>
      </c>
      <c r="N85" s="14" t="s">
        <v>115</v>
      </c>
      <c r="O85" s="12">
        <f t="shared" si="3"/>
        <v>10</v>
      </c>
      <c r="P85" t="str">
        <f t="shared" si="5"/>
        <v>20262715</v>
      </c>
      <c r="Q85">
        <f t="shared" si="4"/>
        <v>1</v>
      </c>
      <c r="R85" s="21"/>
    </row>
    <row r="86" spans="1:18" x14ac:dyDescent="0.3">
      <c r="A86" s="14">
        <v>5516</v>
      </c>
      <c r="B86" s="8" t="s">
        <v>96</v>
      </c>
      <c r="C86" s="15">
        <v>20262714</v>
      </c>
      <c r="D86" s="16">
        <v>8698902627146</v>
      </c>
      <c r="E86" s="14" t="s">
        <v>322</v>
      </c>
      <c r="F86" s="17" t="s">
        <v>323</v>
      </c>
      <c r="G86" s="18">
        <v>5</v>
      </c>
      <c r="H86" s="19">
        <v>5</v>
      </c>
      <c r="I86" s="18">
        <v>0</v>
      </c>
      <c r="J86" s="8" t="s">
        <v>100</v>
      </c>
      <c r="K86" s="14">
        <v>18999</v>
      </c>
      <c r="L86" s="14" t="s">
        <v>164</v>
      </c>
      <c r="M86" s="20" t="s">
        <v>237</v>
      </c>
      <c r="N86" s="14" t="s">
        <v>115</v>
      </c>
      <c r="O86" s="12">
        <f t="shared" si="3"/>
        <v>10</v>
      </c>
      <c r="P86" t="str">
        <f t="shared" si="5"/>
        <v>20262714</v>
      </c>
      <c r="Q86">
        <f t="shared" si="4"/>
        <v>0</v>
      </c>
      <c r="R86" s="21"/>
    </row>
    <row r="87" spans="1:18" x14ac:dyDescent="0.3">
      <c r="A87" s="14">
        <v>5489</v>
      </c>
      <c r="B87" s="8" t="s">
        <v>96</v>
      </c>
      <c r="C87" s="15">
        <v>20262716</v>
      </c>
      <c r="D87" s="16">
        <v>8698902627160</v>
      </c>
      <c r="E87" s="14" t="s">
        <v>324</v>
      </c>
      <c r="F87" s="17" t="s">
        <v>325</v>
      </c>
      <c r="G87" s="18">
        <v>11</v>
      </c>
      <c r="H87" s="19">
        <v>9</v>
      </c>
      <c r="I87" s="18">
        <v>0</v>
      </c>
      <c r="J87" s="8" t="s">
        <v>100</v>
      </c>
      <c r="K87" s="14">
        <v>18999</v>
      </c>
      <c r="L87" s="14" t="s">
        <v>164</v>
      </c>
      <c r="M87" s="20" t="s">
        <v>237</v>
      </c>
      <c r="N87" s="14" t="s">
        <v>115</v>
      </c>
      <c r="O87" s="12">
        <f t="shared" si="3"/>
        <v>10</v>
      </c>
      <c r="P87" t="str">
        <f t="shared" si="5"/>
        <v>20262716</v>
      </c>
      <c r="Q87">
        <f t="shared" si="4"/>
        <v>2</v>
      </c>
      <c r="R87" s="21"/>
    </row>
    <row r="88" spans="1:18" x14ac:dyDescent="0.3">
      <c r="A88" s="14">
        <v>6055</v>
      </c>
      <c r="B88" s="8" t="s">
        <v>96</v>
      </c>
      <c r="C88" s="15">
        <v>20262946</v>
      </c>
      <c r="D88" s="16">
        <v>8698902629461</v>
      </c>
      <c r="E88" s="14" t="s">
        <v>326</v>
      </c>
      <c r="F88" s="17" t="s">
        <v>327</v>
      </c>
      <c r="G88" s="18">
        <v>1</v>
      </c>
      <c r="H88" s="19">
        <v>0</v>
      </c>
      <c r="I88" s="18">
        <v>0</v>
      </c>
      <c r="J88" s="8" t="s">
        <v>100</v>
      </c>
      <c r="K88" s="14">
        <v>19549</v>
      </c>
      <c r="L88" s="14" t="s">
        <v>164</v>
      </c>
      <c r="M88" s="20" t="s">
        <v>237</v>
      </c>
      <c r="N88" s="14" t="s">
        <v>115</v>
      </c>
      <c r="O88" s="12">
        <f t="shared" si="3"/>
        <v>10</v>
      </c>
      <c r="P88" t="str">
        <f t="shared" si="5"/>
        <v>20262946</v>
      </c>
      <c r="Q88">
        <f t="shared" si="4"/>
        <v>1</v>
      </c>
      <c r="R88" s="21"/>
    </row>
    <row r="89" spans="1:18" x14ac:dyDescent="0.3">
      <c r="A89" s="14">
        <v>4624</v>
      </c>
      <c r="B89" s="8" t="s">
        <v>96</v>
      </c>
      <c r="C89" s="15">
        <v>20219978</v>
      </c>
      <c r="D89" s="16">
        <v>8698902199780</v>
      </c>
      <c r="E89" s="14" t="s">
        <v>328</v>
      </c>
      <c r="F89" s="17" t="s">
        <v>329</v>
      </c>
      <c r="G89" s="18">
        <v>4</v>
      </c>
      <c r="H89" s="19">
        <v>2</v>
      </c>
      <c r="I89" s="18">
        <v>0</v>
      </c>
      <c r="J89" s="8" t="s">
        <v>100</v>
      </c>
      <c r="K89" s="14">
        <v>18999</v>
      </c>
      <c r="L89" s="14" t="s">
        <v>164</v>
      </c>
      <c r="M89" s="20" t="s">
        <v>237</v>
      </c>
      <c r="N89" s="14" t="s">
        <v>115</v>
      </c>
      <c r="O89" s="12">
        <f t="shared" si="3"/>
        <v>10</v>
      </c>
      <c r="P89" t="str">
        <f t="shared" si="5"/>
        <v>20219978</v>
      </c>
      <c r="Q89">
        <f t="shared" si="4"/>
        <v>2</v>
      </c>
      <c r="R89" s="21"/>
    </row>
    <row r="90" spans="1:18" x14ac:dyDescent="0.3">
      <c r="A90" s="14">
        <v>6016</v>
      </c>
      <c r="B90" s="8" t="s">
        <v>96</v>
      </c>
      <c r="C90" s="15">
        <v>20264339</v>
      </c>
      <c r="D90" s="16">
        <v>8698902643399</v>
      </c>
      <c r="E90" s="14" t="s">
        <v>330</v>
      </c>
      <c r="F90" s="17" t="s">
        <v>331</v>
      </c>
      <c r="G90" s="18">
        <v>2</v>
      </c>
      <c r="H90" s="19">
        <v>1</v>
      </c>
      <c r="I90" s="18">
        <v>0</v>
      </c>
      <c r="J90" s="8" t="s">
        <v>100</v>
      </c>
      <c r="K90" s="14">
        <v>22999</v>
      </c>
      <c r="L90" s="14" t="s">
        <v>164</v>
      </c>
      <c r="M90" s="20" t="s">
        <v>237</v>
      </c>
      <c r="N90" s="14" t="s">
        <v>115</v>
      </c>
      <c r="O90" s="12">
        <f t="shared" si="3"/>
        <v>10</v>
      </c>
      <c r="P90" t="str">
        <f t="shared" si="5"/>
        <v>20264339</v>
      </c>
      <c r="Q90">
        <f t="shared" si="4"/>
        <v>1</v>
      </c>
      <c r="R90" s="21"/>
    </row>
    <row r="91" spans="1:18" x14ac:dyDescent="0.3">
      <c r="A91" s="14">
        <v>4703</v>
      </c>
      <c r="B91" s="8" t="s">
        <v>96</v>
      </c>
      <c r="C91" s="15">
        <v>20210079</v>
      </c>
      <c r="E91" s="14" t="s">
        <v>332</v>
      </c>
      <c r="F91" s="17" t="s">
        <v>333</v>
      </c>
      <c r="G91" s="18">
        <v>1</v>
      </c>
      <c r="H91" s="19">
        <v>0</v>
      </c>
      <c r="I91" s="18">
        <v>0</v>
      </c>
      <c r="J91" s="8" t="s">
        <v>100</v>
      </c>
      <c r="K91" s="14">
        <v>14099</v>
      </c>
      <c r="L91" s="14" t="s">
        <v>226</v>
      </c>
      <c r="M91" s="20" t="s">
        <v>237</v>
      </c>
      <c r="N91" s="14" t="s">
        <v>115</v>
      </c>
      <c r="O91" s="12">
        <f t="shared" si="3"/>
        <v>10</v>
      </c>
      <c r="P91" t="str">
        <f t="shared" si="5"/>
        <v>20210079</v>
      </c>
      <c r="Q91">
        <f t="shared" si="4"/>
        <v>1</v>
      </c>
      <c r="R91" s="21"/>
    </row>
    <row r="92" spans="1:18" x14ac:dyDescent="0.3">
      <c r="A92" s="14">
        <v>6097</v>
      </c>
      <c r="B92" s="8" t="s">
        <v>96</v>
      </c>
      <c r="C92" s="15">
        <v>20210080</v>
      </c>
      <c r="E92" s="14" t="s">
        <v>334</v>
      </c>
      <c r="F92" s="17" t="s">
        <v>335</v>
      </c>
      <c r="G92" s="18">
        <v>1</v>
      </c>
      <c r="H92" s="19">
        <v>0</v>
      </c>
      <c r="I92" s="18">
        <v>0</v>
      </c>
      <c r="J92" s="8" t="s">
        <v>100</v>
      </c>
      <c r="K92" s="14">
        <v>14649</v>
      </c>
      <c r="L92" s="14" t="s">
        <v>226</v>
      </c>
      <c r="M92" s="20" t="s">
        <v>237</v>
      </c>
      <c r="N92" s="14" t="s">
        <v>115</v>
      </c>
      <c r="O92" s="12">
        <f t="shared" si="3"/>
        <v>10</v>
      </c>
      <c r="P92" t="str">
        <f t="shared" si="5"/>
        <v>20210080</v>
      </c>
      <c r="Q92">
        <f t="shared" si="4"/>
        <v>1</v>
      </c>
      <c r="R92" s="21"/>
    </row>
    <row r="93" spans="1:18" x14ac:dyDescent="0.3">
      <c r="A93" s="14">
        <v>6611</v>
      </c>
      <c r="B93" s="8" t="s">
        <v>96</v>
      </c>
      <c r="C93" s="15">
        <v>20265838</v>
      </c>
      <c r="D93" s="16">
        <v>8698902658386</v>
      </c>
      <c r="E93" s="14" t="s">
        <v>336</v>
      </c>
      <c r="F93" s="17" t="s">
        <v>337</v>
      </c>
      <c r="G93" s="18">
        <v>5</v>
      </c>
      <c r="H93" s="19">
        <v>4</v>
      </c>
      <c r="I93" s="18">
        <v>0</v>
      </c>
      <c r="J93" s="8" t="s">
        <v>100</v>
      </c>
      <c r="K93" s="14">
        <v>8349</v>
      </c>
      <c r="L93" s="14" t="s">
        <v>192</v>
      </c>
      <c r="M93" s="20" t="s">
        <v>237</v>
      </c>
      <c r="N93" s="14" t="s">
        <v>115</v>
      </c>
      <c r="O93" s="12">
        <f t="shared" si="3"/>
        <v>10</v>
      </c>
      <c r="P93" t="str">
        <f t="shared" si="5"/>
        <v>20265838</v>
      </c>
      <c r="Q93">
        <f t="shared" si="4"/>
        <v>1</v>
      </c>
      <c r="R93" s="21"/>
    </row>
    <row r="94" spans="1:18" x14ac:dyDescent="0.3">
      <c r="A94" s="14">
        <v>6636</v>
      </c>
      <c r="B94" s="8" t="s">
        <v>96</v>
      </c>
      <c r="C94" s="15">
        <v>20262646</v>
      </c>
      <c r="D94" s="16">
        <v>8698902626460</v>
      </c>
      <c r="E94" s="14" t="s">
        <v>338</v>
      </c>
      <c r="F94" s="17" t="s">
        <v>339</v>
      </c>
      <c r="G94" s="18">
        <v>32</v>
      </c>
      <c r="H94" s="19">
        <v>31</v>
      </c>
      <c r="I94" s="18">
        <v>0</v>
      </c>
      <c r="J94" s="8" t="s">
        <v>100</v>
      </c>
      <c r="K94" s="14">
        <v>9799</v>
      </c>
      <c r="L94" s="14" t="s">
        <v>192</v>
      </c>
      <c r="M94" s="20" t="s">
        <v>237</v>
      </c>
      <c r="N94" s="14" t="s">
        <v>115</v>
      </c>
      <c r="O94" s="12">
        <f t="shared" si="3"/>
        <v>10</v>
      </c>
      <c r="P94" t="str">
        <f t="shared" si="5"/>
        <v>20262646</v>
      </c>
      <c r="Q94">
        <f t="shared" si="4"/>
        <v>1</v>
      </c>
      <c r="R94" s="21"/>
    </row>
    <row r="95" spans="1:18" x14ac:dyDescent="0.3">
      <c r="A95" s="14">
        <v>5423</v>
      </c>
      <c r="B95" s="8" t="s">
        <v>96</v>
      </c>
      <c r="C95" s="15">
        <v>20262652</v>
      </c>
      <c r="D95" s="16">
        <v>8698902626521</v>
      </c>
      <c r="E95" s="14" t="s">
        <v>340</v>
      </c>
      <c r="F95" s="17" t="s">
        <v>341</v>
      </c>
      <c r="G95" s="18">
        <v>1</v>
      </c>
      <c r="H95" s="19">
        <v>0</v>
      </c>
      <c r="I95" s="18">
        <v>0</v>
      </c>
      <c r="J95" s="8" t="s">
        <v>100</v>
      </c>
      <c r="K95" s="14">
        <v>9799</v>
      </c>
      <c r="L95" s="14" t="s">
        <v>192</v>
      </c>
      <c r="M95" s="20" t="s">
        <v>237</v>
      </c>
      <c r="N95" s="14" t="s">
        <v>115</v>
      </c>
      <c r="O95" s="12">
        <f t="shared" si="3"/>
        <v>10</v>
      </c>
      <c r="P95" t="str">
        <f t="shared" si="5"/>
        <v>20262652</v>
      </c>
      <c r="Q95">
        <f t="shared" si="4"/>
        <v>1</v>
      </c>
      <c r="R95" s="21"/>
    </row>
    <row r="96" spans="1:18" x14ac:dyDescent="0.3">
      <c r="A96" s="14">
        <v>6585</v>
      </c>
      <c r="B96" s="8" t="s">
        <v>96</v>
      </c>
      <c r="C96" s="15">
        <v>20262653</v>
      </c>
      <c r="D96" s="16">
        <v>8698902626538</v>
      </c>
      <c r="E96" s="14" t="s">
        <v>342</v>
      </c>
      <c r="F96" s="17" t="s">
        <v>343</v>
      </c>
      <c r="G96" s="18">
        <v>4</v>
      </c>
      <c r="H96" s="19">
        <v>2</v>
      </c>
      <c r="I96" s="18">
        <v>0</v>
      </c>
      <c r="J96" s="8" t="s">
        <v>100</v>
      </c>
      <c r="K96" s="14">
        <v>9799</v>
      </c>
      <c r="L96" s="14" t="s">
        <v>192</v>
      </c>
      <c r="M96" s="20" t="s">
        <v>237</v>
      </c>
      <c r="N96" s="14" t="s">
        <v>115</v>
      </c>
      <c r="O96" s="12">
        <f t="shared" si="3"/>
        <v>10</v>
      </c>
      <c r="P96" t="str">
        <f t="shared" si="5"/>
        <v>20262653</v>
      </c>
      <c r="Q96">
        <f t="shared" si="4"/>
        <v>2</v>
      </c>
      <c r="R96" s="21"/>
    </row>
    <row r="97" spans="1:18" x14ac:dyDescent="0.3">
      <c r="A97" s="14">
        <v>5938</v>
      </c>
      <c r="B97" s="8" t="s">
        <v>96</v>
      </c>
      <c r="C97" s="15">
        <v>20263659</v>
      </c>
      <c r="D97" s="16">
        <v>8698902636599</v>
      </c>
      <c r="E97" s="14" t="s">
        <v>344</v>
      </c>
      <c r="F97" s="17" t="s">
        <v>345</v>
      </c>
      <c r="G97" s="18">
        <v>1</v>
      </c>
      <c r="H97" s="19">
        <v>0</v>
      </c>
      <c r="I97" s="18">
        <v>0</v>
      </c>
      <c r="J97" s="8" t="s">
        <v>100</v>
      </c>
      <c r="K97" s="14">
        <v>23099</v>
      </c>
      <c r="L97" s="14" t="s">
        <v>192</v>
      </c>
      <c r="M97" s="20" t="s">
        <v>237</v>
      </c>
      <c r="N97" s="14" t="s">
        <v>115</v>
      </c>
      <c r="O97" s="12">
        <f t="shared" si="3"/>
        <v>10</v>
      </c>
      <c r="P97" t="str">
        <f t="shared" si="5"/>
        <v>20263659</v>
      </c>
      <c r="Q97">
        <f t="shared" si="4"/>
        <v>1</v>
      </c>
      <c r="R97" s="21"/>
    </row>
    <row r="98" spans="1:18" x14ac:dyDescent="0.3">
      <c r="A98" s="14">
        <v>5981</v>
      </c>
      <c r="B98" s="8" t="s">
        <v>96</v>
      </c>
      <c r="C98" s="15">
        <v>20264039</v>
      </c>
      <c r="D98" s="16">
        <v>8698902640398</v>
      </c>
      <c r="E98" s="14" t="s">
        <v>346</v>
      </c>
      <c r="F98" s="17" t="s">
        <v>347</v>
      </c>
      <c r="G98" s="18">
        <v>1</v>
      </c>
      <c r="H98" s="19">
        <v>0</v>
      </c>
      <c r="I98" s="18">
        <v>0</v>
      </c>
      <c r="J98" s="8" t="s">
        <v>100</v>
      </c>
      <c r="K98" s="14">
        <v>12349</v>
      </c>
      <c r="L98" s="14" t="s">
        <v>192</v>
      </c>
      <c r="M98" s="20" t="s">
        <v>237</v>
      </c>
      <c r="N98" s="14" t="s">
        <v>115</v>
      </c>
      <c r="O98" s="12">
        <f t="shared" si="3"/>
        <v>10</v>
      </c>
      <c r="P98" t="str">
        <f t="shared" si="5"/>
        <v>20264039</v>
      </c>
      <c r="Q98">
        <f t="shared" si="4"/>
        <v>1</v>
      </c>
      <c r="R98" s="21"/>
    </row>
    <row r="99" spans="1:18" x14ac:dyDescent="0.3">
      <c r="A99" s="14">
        <v>6588</v>
      </c>
      <c r="B99" s="8" t="s">
        <v>96</v>
      </c>
      <c r="C99" s="15">
        <v>20265840</v>
      </c>
      <c r="D99" s="16">
        <v>8698902658409</v>
      </c>
      <c r="E99" s="14" t="s">
        <v>348</v>
      </c>
      <c r="F99" s="17" t="s">
        <v>349</v>
      </c>
      <c r="G99" s="18">
        <v>2</v>
      </c>
      <c r="H99" s="19">
        <v>2</v>
      </c>
      <c r="I99" s="18">
        <v>0</v>
      </c>
      <c r="J99" s="8" t="s">
        <v>100</v>
      </c>
      <c r="K99" s="14">
        <v>11199</v>
      </c>
      <c r="L99" s="14" t="s">
        <v>192</v>
      </c>
      <c r="M99" s="20" t="s">
        <v>237</v>
      </c>
      <c r="N99" s="14" t="s">
        <v>115</v>
      </c>
      <c r="O99" s="12">
        <f t="shared" si="3"/>
        <v>10</v>
      </c>
      <c r="P99" t="str">
        <f t="shared" si="5"/>
        <v>20265840</v>
      </c>
      <c r="Q99">
        <f t="shared" si="4"/>
        <v>0</v>
      </c>
      <c r="R99" s="21"/>
    </row>
    <row r="100" spans="1:18" x14ac:dyDescent="0.3">
      <c r="A100" s="14">
        <v>5748</v>
      </c>
      <c r="B100" s="8" t="s">
        <v>96</v>
      </c>
      <c r="C100" s="15">
        <v>20262661</v>
      </c>
      <c r="D100" s="16">
        <v>8698902626613</v>
      </c>
      <c r="E100" s="14" t="s">
        <v>350</v>
      </c>
      <c r="F100" s="17" t="s">
        <v>351</v>
      </c>
      <c r="G100" s="18">
        <v>5</v>
      </c>
      <c r="H100" s="19">
        <v>3</v>
      </c>
      <c r="I100" s="18">
        <v>0</v>
      </c>
      <c r="J100" s="8" t="s">
        <v>100</v>
      </c>
      <c r="K100" s="14">
        <v>13799</v>
      </c>
      <c r="L100" s="14" t="s">
        <v>192</v>
      </c>
      <c r="M100" s="20" t="s">
        <v>237</v>
      </c>
      <c r="N100" s="14" t="s">
        <v>115</v>
      </c>
      <c r="O100" s="12">
        <f t="shared" si="3"/>
        <v>10</v>
      </c>
      <c r="P100" t="str">
        <f t="shared" si="5"/>
        <v>20262661</v>
      </c>
      <c r="Q100">
        <f t="shared" si="4"/>
        <v>2</v>
      </c>
      <c r="R100" s="21"/>
    </row>
    <row r="101" spans="1:18" x14ac:dyDescent="0.3">
      <c r="A101" s="14">
        <v>7518</v>
      </c>
      <c r="B101" s="8" t="s">
        <v>96</v>
      </c>
      <c r="C101" s="15">
        <v>20267470</v>
      </c>
      <c r="D101" s="16">
        <v>8698902674706</v>
      </c>
      <c r="E101" s="14" t="s">
        <v>352</v>
      </c>
      <c r="F101" s="17" t="s">
        <v>353</v>
      </c>
      <c r="G101" s="18">
        <v>1</v>
      </c>
      <c r="H101" s="19">
        <v>1</v>
      </c>
      <c r="I101" s="18">
        <v>1</v>
      </c>
      <c r="J101" s="8" t="s">
        <v>100</v>
      </c>
      <c r="K101" s="14">
        <v>19999</v>
      </c>
      <c r="L101" s="14" t="s">
        <v>192</v>
      </c>
      <c r="M101" s="20" t="s">
        <v>237</v>
      </c>
      <c r="N101" s="14" t="s">
        <v>115</v>
      </c>
      <c r="O101" s="12">
        <f t="shared" si="3"/>
        <v>10</v>
      </c>
      <c r="P101" t="str">
        <f t="shared" si="5"/>
        <v>20267470</v>
      </c>
      <c r="Q101">
        <f t="shared" si="4"/>
        <v>0</v>
      </c>
      <c r="R101" s="21"/>
    </row>
    <row r="102" spans="1:18" x14ac:dyDescent="0.3">
      <c r="A102" s="14">
        <v>5948</v>
      </c>
      <c r="B102" s="8" t="s">
        <v>96</v>
      </c>
      <c r="C102" s="15">
        <v>20264322</v>
      </c>
      <c r="D102" s="16">
        <v>8698902643221</v>
      </c>
      <c r="E102" s="14" t="s">
        <v>354</v>
      </c>
      <c r="F102" s="17" t="s">
        <v>355</v>
      </c>
      <c r="G102" s="18">
        <v>6</v>
      </c>
      <c r="H102" s="19">
        <v>4</v>
      </c>
      <c r="I102" s="18">
        <v>0</v>
      </c>
      <c r="J102" s="8" t="s">
        <v>100</v>
      </c>
      <c r="K102" s="14">
        <v>17849</v>
      </c>
      <c r="L102" s="14" t="s">
        <v>192</v>
      </c>
      <c r="M102" s="20" t="s">
        <v>237</v>
      </c>
      <c r="N102" s="14" t="s">
        <v>115</v>
      </c>
      <c r="O102" s="12">
        <f t="shared" si="3"/>
        <v>10</v>
      </c>
      <c r="P102" t="str">
        <f t="shared" si="5"/>
        <v>20264322</v>
      </c>
      <c r="Q102">
        <f t="shared" si="4"/>
        <v>2</v>
      </c>
      <c r="R102" s="21"/>
    </row>
    <row r="103" spans="1:18" x14ac:dyDescent="0.3">
      <c r="A103" s="14">
        <v>5871</v>
      </c>
      <c r="B103" s="8" t="s">
        <v>96</v>
      </c>
      <c r="C103" s="15">
        <v>20264251</v>
      </c>
      <c r="D103" s="16">
        <v>8698902642514</v>
      </c>
      <c r="E103" s="14" t="s">
        <v>356</v>
      </c>
      <c r="F103" s="17" t="s">
        <v>357</v>
      </c>
      <c r="G103" s="18">
        <v>6</v>
      </c>
      <c r="H103" s="19">
        <v>6</v>
      </c>
      <c r="I103" s="18">
        <v>0</v>
      </c>
      <c r="J103" s="8" t="s">
        <v>100</v>
      </c>
      <c r="K103" s="14">
        <v>24999</v>
      </c>
      <c r="L103" s="14" t="s">
        <v>192</v>
      </c>
      <c r="M103" s="20" t="s">
        <v>237</v>
      </c>
      <c r="N103" s="14" t="s">
        <v>115</v>
      </c>
      <c r="O103" s="12">
        <f t="shared" si="3"/>
        <v>10</v>
      </c>
      <c r="P103" t="str">
        <f t="shared" si="5"/>
        <v>20264251</v>
      </c>
      <c r="Q103">
        <f t="shared" si="4"/>
        <v>0</v>
      </c>
      <c r="R103" s="21"/>
    </row>
    <row r="104" spans="1:18" x14ac:dyDescent="0.3">
      <c r="A104" s="14">
        <v>6053</v>
      </c>
      <c r="B104" s="8" t="s">
        <v>96</v>
      </c>
      <c r="C104" s="15">
        <v>20264346</v>
      </c>
      <c r="D104" s="16">
        <v>8698902643467</v>
      </c>
      <c r="E104" s="14" t="s">
        <v>358</v>
      </c>
      <c r="F104" s="17" t="s">
        <v>359</v>
      </c>
      <c r="G104" s="18">
        <v>1</v>
      </c>
      <c r="H104" s="19">
        <v>1</v>
      </c>
      <c r="I104" s="18">
        <v>0</v>
      </c>
      <c r="J104" s="8" t="s">
        <v>100</v>
      </c>
      <c r="K104" s="14">
        <v>24449</v>
      </c>
      <c r="L104" s="14" t="s">
        <v>192</v>
      </c>
      <c r="M104" s="20" t="s">
        <v>237</v>
      </c>
      <c r="N104" s="14" t="s">
        <v>115</v>
      </c>
      <c r="O104" s="12">
        <f t="shared" si="3"/>
        <v>10</v>
      </c>
      <c r="P104" t="str">
        <f t="shared" si="5"/>
        <v>20264346</v>
      </c>
      <c r="Q104">
        <f t="shared" si="4"/>
        <v>0</v>
      </c>
      <c r="R104" s="21"/>
    </row>
    <row r="105" spans="1:18" x14ac:dyDescent="0.3">
      <c r="A105" s="14">
        <v>5769</v>
      </c>
      <c r="B105" s="8" t="s">
        <v>96</v>
      </c>
      <c r="C105" s="15">
        <v>20264250</v>
      </c>
      <c r="D105" s="16">
        <v>8698902642507</v>
      </c>
      <c r="E105" s="14" t="s">
        <v>360</v>
      </c>
      <c r="F105" s="17" t="s">
        <v>361</v>
      </c>
      <c r="G105" s="18">
        <v>3</v>
      </c>
      <c r="H105" s="19">
        <v>2</v>
      </c>
      <c r="I105" s="18">
        <v>0</v>
      </c>
      <c r="J105" s="8" t="s">
        <v>100</v>
      </c>
      <c r="K105" s="14">
        <v>24699</v>
      </c>
      <c r="L105" s="14" t="s">
        <v>192</v>
      </c>
      <c r="M105" s="20" t="s">
        <v>237</v>
      </c>
      <c r="N105" s="14" t="s">
        <v>115</v>
      </c>
      <c r="O105" s="12">
        <f t="shared" si="3"/>
        <v>10</v>
      </c>
      <c r="P105" t="str">
        <f t="shared" si="5"/>
        <v>20264250</v>
      </c>
      <c r="Q105">
        <f t="shared" si="4"/>
        <v>1</v>
      </c>
      <c r="R105" s="21"/>
    </row>
    <row r="106" spans="1:18" x14ac:dyDescent="0.3">
      <c r="A106" s="14">
        <v>5892</v>
      </c>
      <c r="B106" s="8" t="s">
        <v>96</v>
      </c>
      <c r="C106" s="15">
        <v>20219998</v>
      </c>
      <c r="D106" s="16">
        <v>8698902199988</v>
      </c>
      <c r="E106" s="14" t="s">
        <v>362</v>
      </c>
      <c r="F106" s="17" t="s">
        <v>363</v>
      </c>
      <c r="G106" s="18">
        <v>1</v>
      </c>
      <c r="H106" s="19">
        <v>0</v>
      </c>
      <c r="I106" s="18">
        <v>0</v>
      </c>
      <c r="J106" s="8" t="s">
        <v>100</v>
      </c>
      <c r="K106" s="14">
        <v>7499</v>
      </c>
      <c r="L106" s="14" t="s">
        <v>192</v>
      </c>
      <c r="M106" s="20" t="s">
        <v>237</v>
      </c>
      <c r="N106" s="14" t="s">
        <v>115</v>
      </c>
      <c r="O106" s="12">
        <f t="shared" si="3"/>
        <v>10</v>
      </c>
      <c r="P106" t="str">
        <f t="shared" si="5"/>
        <v>20219998</v>
      </c>
      <c r="Q106">
        <f t="shared" si="4"/>
        <v>1</v>
      </c>
      <c r="R106" s="21"/>
    </row>
    <row r="107" spans="1:18" x14ac:dyDescent="0.3">
      <c r="A107" s="14">
        <v>5893</v>
      </c>
      <c r="B107" s="8" t="s">
        <v>96</v>
      </c>
      <c r="C107" s="15">
        <v>20219997</v>
      </c>
      <c r="D107" s="16">
        <v>8698902199971</v>
      </c>
      <c r="E107" s="14" t="s">
        <v>364</v>
      </c>
      <c r="F107" s="17" t="s">
        <v>365</v>
      </c>
      <c r="G107" s="18">
        <v>5</v>
      </c>
      <c r="H107" s="19">
        <v>4</v>
      </c>
      <c r="I107" s="18">
        <v>0</v>
      </c>
      <c r="J107" s="8" t="s">
        <v>100</v>
      </c>
      <c r="K107" s="14">
        <v>7499</v>
      </c>
      <c r="L107" s="14" t="s">
        <v>192</v>
      </c>
      <c r="M107" s="20" t="s">
        <v>237</v>
      </c>
      <c r="N107" s="14" t="s">
        <v>115</v>
      </c>
      <c r="O107" s="12">
        <f t="shared" si="3"/>
        <v>10</v>
      </c>
      <c r="P107" t="str">
        <f t="shared" si="5"/>
        <v>20219997</v>
      </c>
      <c r="Q107">
        <f t="shared" si="4"/>
        <v>1</v>
      </c>
      <c r="R107" s="21"/>
    </row>
    <row r="108" spans="1:18" x14ac:dyDescent="0.3">
      <c r="A108" s="14">
        <v>4976</v>
      </c>
      <c r="B108" s="8" t="s">
        <v>96</v>
      </c>
      <c r="C108" s="15">
        <v>20210000</v>
      </c>
      <c r="D108" s="16">
        <v>8698902100007</v>
      </c>
      <c r="E108" s="14" t="s">
        <v>366</v>
      </c>
      <c r="F108" s="17" t="s">
        <v>367</v>
      </c>
      <c r="G108" s="18">
        <v>1</v>
      </c>
      <c r="H108" s="19">
        <v>0</v>
      </c>
      <c r="I108" s="18">
        <v>0</v>
      </c>
      <c r="J108" s="8" t="s">
        <v>100</v>
      </c>
      <c r="K108" s="14">
        <v>9199</v>
      </c>
      <c r="L108" s="14" t="s">
        <v>192</v>
      </c>
      <c r="M108" s="20" t="s">
        <v>237</v>
      </c>
      <c r="N108" s="14" t="s">
        <v>115</v>
      </c>
      <c r="O108" s="12">
        <f t="shared" si="3"/>
        <v>10</v>
      </c>
      <c r="P108" t="str">
        <f t="shared" si="5"/>
        <v>20210000</v>
      </c>
      <c r="Q108">
        <f t="shared" si="4"/>
        <v>1</v>
      </c>
      <c r="R108" s="21"/>
    </row>
    <row r="109" spans="1:18" x14ac:dyDescent="0.3">
      <c r="A109" s="14">
        <v>5456</v>
      </c>
      <c r="B109" s="8" t="s">
        <v>96</v>
      </c>
      <c r="C109" s="15">
        <v>20262650</v>
      </c>
      <c r="D109" s="16">
        <v>8698902626507</v>
      </c>
      <c r="E109" s="14" t="s">
        <v>368</v>
      </c>
      <c r="F109" s="17" t="s">
        <v>369</v>
      </c>
      <c r="G109" s="18">
        <v>2</v>
      </c>
      <c r="H109" s="19">
        <v>1</v>
      </c>
      <c r="I109" s="18">
        <v>0</v>
      </c>
      <c r="J109" s="8" t="s">
        <v>100</v>
      </c>
      <c r="K109" s="14">
        <v>13499</v>
      </c>
      <c r="L109" s="14" t="s">
        <v>192</v>
      </c>
      <c r="M109" s="20" t="s">
        <v>237</v>
      </c>
      <c r="N109" s="14" t="s">
        <v>115</v>
      </c>
      <c r="O109" s="12">
        <f t="shared" si="3"/>
        <v>10</v>
      </c>
      <c r="P109" t="str">
        <f t="shared" si="5"/>
        <v>20262650</v>
      </c>
      <c r="Q109">
        <f t="shared" si="4"/>
        <v>1</v>
      </c>
      <c r="R109" s="21"/>
    </row>
    <row r="110" spans="1:18" x14ac:dyDescent="0.3">
      <c r="A110" s="14">
        <v>7504</v>
      </c>
      <c r="B110" s="8" t="s">
        <v>96</v>
      </c>
      <c r="C110" s="15">
        <v>20267460</v>
      </c>
      <c r="D110" s="16">
        <v>8698902674607</v>
      </c>
      <c r="E110" s="14" t="s">
        <v>370</v>
      </c>
      <c r="F110" s="17" t="s">
        <v>371</v>
      </c>
      <c r="G110" s="18">
        <v>5</v>
      </c>
      <c r="H110" s="19">
        <v>5</v>
      </c>
      <c r="I110" s="18">
        <v>0</v>
      </c>
      <c r="J110" s="8" t="s">
        <v>100</v>
      </c>
      <c r="K110" s="14">
        <v>14999</v>
      </c>
      <c r="L110" s="14" t="s">
        <v>192</v>
      </c>
      <c r="M110" s="20" t="s">
        <v>237</v>
      </c>
      <c r="N110" s="14" t="s">
        <v>115</v>
      </c>
      <c r="O110" s="12">
        <f t="shared" si="3"/>
        <v>10</v>
      </c>
      <c r="P110" t="str">
        <f t="shared" si="5"/>
        <v>20267460</v>
      </c>
      <c r="Q110">
        <f t="shared" si="4"/>
        <v>0</v>
      </c>
      <c r="R110" s="21"/>
    </row>
    <row r="111" spans="1:18" x14ac:dyDescent="0.3">
      <c r="A111" s="14">
        <v>5462</v>
      </c>
      <c r="B111" s="8" t="s">
        <v>96</v>
      </c>
      <c r="C111" s="15">
        <v>20262651</v>
      </c>
      <c r="D111" s="16">
        <v>8698902626514</v>
      </c>
      <c r="E111" s="14" t="s">
        <v>372</v>
      </c>
      <c r="F111" s="17" t="s">
        <v>373</v>
      </c>
      <c r="G111" s="18">
        <v>1</v>
      </c>
      <c r="H111" s="19">
        <v>0</v>
      </c>
      <c r="I111" s="18">
        <v>0</v>
      </c>
      <c r="J111" s="8" t="s">
        <v>100</v>
      </c>
      <c r="K111" s="14">
        <v>14099</v>
      </c>
      <c r="L111" s="14" t="s">
        <v>192</v>
      </c>
      <c r="M111" s="20" t="s">
        <v>237</v>
      </c>
      <c r="N111" s="14" t="s">
        <v>115</v>
      </c>
      <c r="O111" s="12">
        <f t="shared" si="3"/>
        <v>10</v>
      </c>
      <c r="P111" t="str">
        <f t="shared" si="5"/>
        <v>20262651</v>
      </c>
      <c r="Q111">
        <f t="shared" si="4"/>
        <v>1</v>
      </c>
      <c r="R111" s="21"/>
    </row>
    <row r="112" spans="1:18" x14ac:dyDescent="0.3">
      <c r="A112" s="14">
        <v>6876</v>
      </c>
      <c r="B112" s="8" t="s">
        <v>96</v>
      </c>
      <c r="C112" s="15">
        <v>20267466</v>
      </c>
      <c r="D112" s="16">
        <v>8698902674669</v>
      </c>
      <c r="E112" s="14" t="s">
        <v>374</v>
      </c>
      <c r="F112" s="17" t="s">
        <v>375</v>
      </c>
      <c r="G112" s="18">
        <v>6</v>
      </c>
      <c r="H112" s="19">
        <v>4</v>
      </c>
      <c r="I112" s="18">
        <v>2</v>
      </c>
      <c r="J112" s="8" t="s">
        <v>100</v>
      </c>
      <c r="K112" s="14">
        <v>12649</v>
      </c>
      <c r="L112" s="14" t="s">
        <v>192</v>
      </c>
      <c r="M112" s="20" t="s">
        <v>237</v>
      </c>
      <c r="N112" s="14" t="s">
        <v>115</v>
      </c>
      <c r="O112" s="12">
        <f t="shared" si="3"/>
        <v>10</v>
      </c>
      <c r="P112" t="str">
        <f t="shared" si="5"/>
        <v>20267466</v>
      </c>
      <c r="Q112">
        <f t="shared" si="4"/>
        <v>2</v>
      </c>
      <c r="R112" s="21"/>
    </row>
    <row r="113" spans="1:18" x14ac:dyDescent="0.3">
      <c r="A113" s="14">
        <v>6801</v>
      </c>
      <c r="B113" s="8" t="s">
        <v>96</v>
      </c>
      <c r="C113" s="15">
        <v>20265335</v>
      </c>
      <c r="D113" s="16">
        <v>8698902653350</v>
      </c>
      <c r="E113" s="14" t="s">
        <v>376</v>
      </c>
      <c r="F113" s="17" t="s">
        <v>377</v>
      </c>
      <c r="G113" s="18">
        <v>2</v>
      </c>
      <c r="H113" s="19">
        <v>2</v>
      </c>
      <c r="I113" s="18">
        <v>0</v>
      </c>
      <c r="J113" s="8" t="s">
        <v>100</v>
      </c>
      <c r="K113" s="14">
        <v>14099</v>
      </c>
      <c r="L113" s="14" t="s">
        <v>192</v>
      </c>
      <c r="M113" s="20" t="s">
        <v>237</v>
      </c>
      <c r="N113" s="14" t="s">
        <v>115</v>
      </c>
      <c r="O113" s="12">
        <f t="shared" si="3"/>
        <v>10</v>
      </c>
      <c r="P113" t="str">
        <f t="shared" si="5"/>
        <v>20265335</v>
      </c>
      <c r="Q113">
        <f t="shared" si="4"/>
        <v>0</v>
      </c>
      <c r="R113" s="21"/>
    </row>
    <row r="114" spans="1:18" x14ac:dyDescent="0.3">
      <c r="A114" s="14">
        <v>6925</v>
      </c>
      <c r="B114" s="8" t="s">
        <v>96</v>
      </c>
      <c r="C114" s="15">
        <v>20267464</v>
      </c>
      <c r="D114" s="16">
        <v>8698902674645</v>
      </c>
      <c r="E114" s="14" t="s">
        <v>378</v>
      </c>
      <c r="F114" s="17" t="s">
        <v>379</v>
      </c>
      <c r="G114" s="18">
        <v>1</v>
      </c>
      <c r="H114" s="19">
        <v>0</v>
      </c>
      <c r="I114" s="18">
        <v>0</v>
      </c>
      <c r="J114" s="8" t="s">
        <v>100</v>
      </c>
      <c r="K114" s="14">
        <v>12349</v>
      </c>
      <c r="L114" s="14" t="s">
        <v>192</v>
      </c>
      <c r="M114" s="20" t="s">
        <v>237</v>
      </c>
      <c r="N114" s="14" t="s">
        <v>115</v>
      </c>
      <c r="O114" s="12">
        <f t="shared" si="3"/>
        <v>10</v>
      </c>
      <c r="P114" t="str">
        <f t="shared" si="5"/>
        <v>20267464</v>
      </c>
      <c r="Q114">
        <f t="shared" si="4"/>
        <v>1</v>
      </c>
      <c r="R114" s="21"/>
    </row>
    <row r="115" spans="1:18" x14ac:dyDescent="0.3">
      <c r="A115" s="14">
        <v>3657</v>
      </c>
      <c r="B115" s="8" t="s">
        <v>96</v>
      </c>
      <c r="C115" s="15">
        <v>20218716</v>
      </c>
      <c r="D115" s="16">
        <v>8698902187169</v>
      </c>
      <c r="E115" s="14" t="s">
        <v>380</v>
      </c>
      <c r="F115" s="17" t="s">
        <v>381</v>
      </c>
      <c r="G115" s="18">
        <v>1</v>
      </c>
      <c r="H115" s="19">
        <v>0</v>
      </c>
      <c r="I115" s="18">
        <v>0</v>
      </c>
      <c r="J115" s="8" t="s">
        <v>100</v>
      </c>
      <c r="K115" s="14">
        <v>14649</v>
      </c>
      <c r="L115" s="14" t="s">
        <v>192</v>
      </c>
      <c r="M115" s="20" t="s">
        <v>237</v>
      </c>
      <c r="N115" s="14" t="s">
        <v>115</v>
      </c>
      <c r="O115" s="12">
        <f t="shared" si="3"/>
        <v>10</v>
      </c>
      <c r="P115" t="str">
        <f t="shared" si="5"/>
        <v>20218716</v>
      </c>
      <c r="Q115">
        <f t="shared" si="4"/>
        <v>1</v>
      </c>
      <c r="R115" s="21"/>
    </row>
    <row r="116" spans="1:18" x14ac:dyDescent="0.3">
      <c r="A116" s="14">
        <v>2843</v>
      </c>
      <c r="B116" s="8" t="s">
        <v>96</v>
      </c>
      <c r="C116" s="15">
        <v>20212389</v>
      </c>
      <c r="D116" s="16">
        <v>8003437775918</v>
      </c>
      <c r="E116" s="14" t="s">
        <v>382</v>
      </c>
      <c r="F116" s="17" t="s">
        <v>383</v>
      </c>
      <c r="G116" s="18">
        <v>1</v>
      </c>
      <c r="H116" s="19">
        <v>0</v>
      </c>
      <c r="I116" s="18">
        <v>0</v>
      </c>
      <c r="J116" s="8" t="s">
        <v>100</v>
      </c>
      <c r="K116" s="14">
        <v>8799</v>
      </c>
      <c r="L116" s="14" t="s">
        <v>122</v>
      </c>
      <c r="M116" s="20" t="s">
        <v>384</v>
      </c>
      <c r="N116" s="14" t="s">
        <v>115</v>
      </c>
      <c r="O116" s="12">
        <f t="shared" si="3"/>
        <v>10</v>
      </c>
      <c r="P116" t="str">
        <f t="shared" si="5"/>
        <v>20212389</v>
      </c>
      <c r="Q116">
        <f t="shared" si="4"/>
        <v>1</v>
      </c>
      <c r="R116" s="21"/>
    </row>
    <row r="117" spans="1:18" x14ac:dyDescent="0.3">
      <c r="A117" s="14">
        <v>2844</v>
      </c>
      <c r="B117" s="8" t="s">
        <v>96</v>
      </c>
      <c r="C117" s="15">
        <v>20212390</v>
      </c>
      <c r="D117" s="16">
        <v>8003437775925</v>
      </c>
      <c r="E117" s="14" t="s">
        <v>385</v>
      </c>
      <c r="F117" s="17" t="s">
        <v>386</v>
      </c>
      <c r="G117" s="18">
        <v>1</v>
      </c>
      <c r="H117" s="19">
        <v>0</v>
      </c>
      <c r="I117" s="18">
        <v>0</v>
      </c>
      <c r="J117" s="8" t="s">
        <v>100</v>
      </c>
      <c r="K117" s="14">
        <v>8799</v>
      </c>
      <c r="L117" s="14" t="s">
        <v>122</v>
      </c>
      <c r="M117" s="20" t="s">
        <v>384</v>
      </c>
      <c r="N117" s="14" t="s">
        <v>115</v>
      </c>
      <c r="O117" s="12">
        <f t="shared" si="3"/>
        <v>10</v>
      </c>
      <c r="P117" t="str">
        <f t="shared" si="5"/>
        <v>20212390</v>
      </c>
      <c r="Q117">
        <f t="shared" si="4"/>
        <v>1</v>
      </c>
      <c r="R117" s="21"/>
    </row>
    <row r="118" spans="1:18" x14ac:dyDescent="0.3">
      <c r="A118" s="14">
        <v>1618</v>
      </c>
      <c r="B118" s="8" t="s">
        <v>96</v>
      </c>
      <c r="C118" s="15">
        <v>20212382</v>
      </c>
      <c r="D118" s="16">
        <v>8003437775888</v>
      </c>
      <c r="E118" s="14" t="s">
        <v>387</v>
      </c>
      <c r="F118" s="17" t="s">
        <v>388</v>
      </c>
      <c r="G118" s="18">
        <v>3</v>
      </c>
      <c r="H118" s="19">
        <v>2</v>
      </c>
      <c r="I118" s="18">
        <v>0</v>
      </c>
      <c r="J118" s="8" t="s">
        <v>100</v>
      </c>
      <c r="K118" s="14">
        <v>8799</v>
      </c>
      <c r="L118" s="14" t="s">
        <v>122</v>
      </c>
      <c r="M118" s="20" t="s">
        <v>384</v>
      </c>
      <c r="N118" s="14" t="s">
        <v>115</v>
      </c>
      <c r="O118" s="12">
        <f t="shared" si="3"/>
        <v>10</v>
      </c>
      <c r="P118" t="str">
        <f t="shared" si="5"/>
        <v>20212382</v>
      </c>
      <c r="Q118">
        <f t="shared" si="4"/>
        <v>1</v>
      </c>
      <c r="R118" s="21"/>
    </row>
    <row r="119" spans="1:18" x14ac:dyDescent="0.3">
      <c r="A119" s="14">
        <v>1617</v>
      </c>
      <c r="B119" s="8" t="s">
        <v>96</v>
      </c>
      <c r="C119" s="15" t="s">
        <v>389</v>
      </c>
      <c r="E119" s="14" t="s">
        <v>390</v>
      </c>
      <c r="F119" s="17" t="s">
        <v>391</v>
      </c>
      <c r="G119" s="18">
        <v>1</v>
      </c>
      <c r="H119" s="19">
        <v>0</v>
      </c>
      <c r="I119" s="18">
        <v>0</v>
      </c>
      <c r="J119" s="8" t="s">
        <v>100</v>
      </c>
      <c r="K119" s="14">
        <v>4199</v>
      </c>
      <c r="L119" s="14" t="s">
        <v>192</v>
      </c>
      <c r="M119" s="20" t="s">
        <v>384</v>
      </c>
      <c r="N119" s="14" t="s">
        <v>115</v>
      </c>
      <c r="O119" s="12">
        <f t="shared" si="3"/>
        <v>10</v>
      </c>
      <c r="P119" t="str">
        <f t="shared" si="5"/>
        <v>AKT325</v>
      </c>
      <c r="Q119">
        <f t="shared" si="4"/>
        <v>1</v>
      </c>
      <c r="R119" s="21"/>
    </row>
    <row r="120" spans="1:18" x14ac:dyDescent="0.3">
      <c r="A120" s="14">
        <v>906</v>
      </c>
      <c r="B120" s="8" t="s">
        <v>96</v>
      </c>
      <c r="C120" s="15" t="s">
        <v>392</v>
      </c>
      <c r="D120" s="16">
        <v>8003437780677</v>
      </c>
      <c r="E120" s="14" t="s">
        <v>393</v>
      </c>
      <c r="F120" s="17" t="s">
        <v>394</v>
      </c>
      <c r="G120" s="18">
        <v>6</v>
      </c>
      <c r="H120" s="19">
        <v>4</v>
      </c>
      <c r="I120" s="18">
        <v>0</v>
      </c>
      <c r="J120" s="8" t="s">
        <v>100</v>
      </c>
      <c r="K120" s="14">
        <v>4199</v>
      </c>
      <c r="L120" s="14" t="s">
        <v>164</v>
      </c>
      <c r="M120" s="20" t="s">
        <v>384</v>
      </c>
      <c r="N120" s="14" t="s">
        <v>115</v>
      </c>
      <c r="O120" s="12">
        <f t="shared" si="3"/>
        <v>10</v>
      </c>
      <c r="P120" t="str">
        <f t="shared" si="5"/>
        <v>WD140/IX</v>
      </c>
      <c r="Q120">
        <f t="shared" si="4"/>
        <v>2</v>
      </c>
      <c r="R120" s="21"/>
    </row>
    <row r="121" spans="1:18" x14ac:dyDescent="0.3">
      <c r="A121" s="14">
        <v>7322</v>
      </c>
      <c r="B121" s="8" t="s">
        <v>96</v>
      </c>
      <c r="C121" s="15">
        <v>20242939</v>
      </c>
      <c r="D121" s="16">
        <v>8698902429399</v>
      </c>
      <c r="E121" s="14" t="s">
        <v>395</v>
      </c>
      <c r="F121" s="17" t="s">
        <v>396</v>
      </c>
      <c r="G121" s="18">
        <v>79</v>
      </c>
      <c r="I121" s="18">
        <v>0</v>
      </c>
      <c r="J121" s="8" t="s">
        <v>100</v>
      </c>
      <c r="K121" s="14">
        <v>999</v>
      </c>
      <c r="L121" s="14" t="s">
        <v>101</v>
      </c>
      <c r="M121" s="20" t="s">
        <v>237</v>
      </c>
      <c r="N121" s="14" t="s">
        <v>103</v>
      </c>
      <c r="O121" s="12">
        <f t="shared" si="3"/>
        <v>10</v>
      </c>
      <c r="P121" t="str">
        <f t="shared" si="5"/>
        <v>20242939</v>
      </c>
      <c r="Q121">
        <f t="shared" si="4"/>
        <v>79</v>
      </c>
      <c r="R121" s="21"/>
    </row>
    <row r="122" spans="1:18" x14ac:dyDescent="0.3">
      <c r="A122" s="14">
        <v>6374</v>
      </c>
      <c r="B122" s="8" t="s">
        <v>96</v>
      </c>
      <c r="C122" s="15" t="s">
        <v>397</v>
      </c>
      <c r="D122" s="16">
        <v>8806094571288</v>
      </c>
      <c r="E122" s="14" t="s">
        <v>398</v>
      </c>
      <c r="F122" s="17" t="s">
        <v>399</v>
      </c>
      <c r="G122" s="18">
        <v>2</v>
      </c>
      <c r="H122" s="19">
        <v>0</v>
      </c>
      <c r="I122" s="18">
        <v>2</v>
      </c>
      <c r="J122" s="8" t="s">
        <v>100</v>
      </c>
      <c r="K122" s="14">
        <v>40549</v>
      </c>
      <c r="L122" s="14" t="s">
        <v>400</v>
      </c>
      <c r="M122" s="20" t="s">
        <v>114</v>
      </c>
      <c r="N122" s="14" t="s">
        <v>130</v>
      </c>
      <c r="O122" s="12">
        <f t="shared" si="3"/>
        <v>10</v>
      </c>
      <c r="P122" t="str">
        <f t="shared" si="5"/>
        <v>RB34A6B0E</v>
      </c>
      <c r="Q122">
        <f t="shared" si="4"/>
        <v>2</v>
      </c>
      <c r="R122" s="21"/>
    </row>
    <row r="123" spans="1:18" x14ac:dyDescent="0.3">
      <c r="A123" s="14">
        <v>6923</v>
      </c>
      <c r="B123" s="8" t="s">
        <v>96</v>
      </c>
      <c r="C123" s="15" t="s">
        <v>401</v>
      </c>
      <c r="D123" s="16">
        <v>8806095262987</v>
      </c>
      <c r="E123" s="14" t="s">
        <v>402</v>
      </c>
      <c r="F123" s="17" t="s">
        <v>403</v>
      </c>
      <c r="G123" s="18">
        <v>2</v>
      </c>
      <c r="H123" s="19">
        <v>2</v>
      </c>
      <c r="I123" s="18">
        <v>0</v>
      </c>
      <c r="J123" s="8" t="s">
        <v>100</v>
      </c>
      <c r="K123" s="14">
        <v>44299</v>
      </c>
      <c r="L123" s="14" t="s">
        <v>400</v>
      </c>
      <c r="M123" s="20" t="s">
        <v>114</v>
      </c>
      <c r="N123" s="14" t="s">
        <v>130</v>
      </c>
      <c r="O123" s="12">
        <f t="shared" si="3"/>
        <v>10</v>
      </c>
      <c r="P123" t="str">
        <f t="shared" si="5"/>
        <v>RB34C6B0E</v>
      </c>
      <c r="Q123">
        <f t="shared" si="4"/>
        <v>0</v>
      </c>
      <c r="R123" s="21"/>
    </row>
    <row r="124" spans="1:18" x14ac:dyDescent="0.3">
      <c r="A124" s="14">
        <v>7024</v>
      </c>
      <c r="B124" s="8" t="s">
        <v>96</v>
      </c>
      <c r="C124" s="15" t="s">
        <v>404</v>
      </c>
      <c r="D124" s="16">
        <v>8806095406107</v>
      </c>
      <c r="E124" s="14" t="s">
        <v>405</v>
      </c>
      <c r="F124" s="17" t="s">
        <v>406</v>
      </c>
      <c r="G124" s="18">
        <v>2</v>
      </c>
      <c r="H124" s="19">
        <v>1</v>
      </c>
      <c r="I124" s="18">
        <v>0</v>
      </c>
      <c r="J124" s="8" t="s">
        <v>100</v>
      </c>
      <c r="K124" s="14">
        <v>47599</v>
      </c>
      <c r="L124" s="14" t="s">
        <v>400</v>
      </c>
      <c r="M124" s="20" t="s">
        <v>114</v>
      </c>
      <c r="N124" s="14" t="s">
        <v>130</v>
      </c>
      <c r="O124" s="12">
        <f t="shared" si="3"/>
        <v>10</v>
      </c>
      <c r="P124" t="str">
        <f t="shared" si="5"/>
        <v>RB45DG600</v>
      </c>
      <c r="Q124">
        <f t="shared" si="4"/>
        <v>1</v>
      </c>
      <c r="R124" s="21"/>
    </row>
    <row r="125" spans="1:18" x14ac:dyDescent="0.3">
      <c r="A125" s="14">
        <v>7032</v>
      </c>
      <c r="B125" s="8" t="s">
        <v>96</v>
      </c>
      <c r="C125" s="15" t="s">
        <v>407</v>
      </c>
      <c r="D125" s="16">
        <v>8806095500416</v>
      </c>
      <c r="E125" s="14" t="s">
        <v>408</v>
      </c>
      <c r="F125" s="17" t="s">
        <v>409</v>
      </c>
      <c r="G125" s="18">
        <v>1</v>
      </c>
      <c r="H125" s="19">
        <v>1</v>
      </c>
      <c r="I125" s="18">
        <v>0</v>
      </c>
      <c r="J125" s="8" t="s">
        <v>100</v>
      </c>
      <c r="K125" s="14">
        <v>45699</v>
      </c>
      <c r="L125" s="14" t="s">
        <v>400</v>
      </c>
      <c r="M125" s="20" t="s">
        <v>114</v>
      </c>
      <c r="N125" s="14" t="s">
        <v>130</v>
      </c>
      <c r="O125" s="12">
        <f t="shared" si="3"/>
        <v>10</v>
      </c>
      <c r="P125" t="str">
        <f t="shared" si="5"/>
        <v>RT47CB663</v>
      </c>
      <c r="Q125">
        <f t="shared" si="4"/>
        <v>0</v>
      </c>
      <c r="R125" s="21"/>
    </row>
    <row r="126" spans="1:18" x14ac:dyDescent="0.3">
      <c r="A126" s="14">
        <v>7292</v>
      </c>
      <c r="B126" s="8" t="s">
        <v>96</v>
      </c>
      <c r="C126" s="15" t="s">
        <v>410</v>
      </c>
      <c r="D126" s="16">
        <v>8806095500423</v>
      </c>
      <c r="E126" s="14" t="s">
        <v>411</v>
      </c>
      <c r="F126" s="17" t="s">
        <v>412</v>
      </c>
      <c r="G126" s="18">
        <v>6</v>
      </c>
      <c r="H126" s="19">
        <v>6</v>
      </c>
      <c r="I126" s="18">
        <v>0</v>
      </c>
      <c r="J126" s="8" t="s">
        <v>100</v>
      </c>
      <c r="K126" s="14">
        <v>44849</v>
      </c>
      <c r="L126" s="14" t="s">
        <v>400</v>
      </c>
      <c r="M126" s="20" t="s">
        <v>114</v>
      </c>
      <c r="N126" s="14" t="s">
        <v>130</v>
      </c>
      <c r="O126" s="12">
        <f t="shared" si="3"/>
        <v>10</v>
      </c>
      <c r="P126" t="str">
        <f t="shared" si="5"/>
        <v>RT47CB663</v>
      </c>
      <c r="Q126">
        <f t="shared" si="4"/>
        <v>0</v>
      </c>
      <c r="R126" s="21"/>
    </row>
    <row r="127" spans="1:18" x14ac:dyDescent="0.3">
      <c r="A127" s="14">
        <v>7013</v>
      </c>
      <c r="B127" s="8" t="s">
        <v>96</v>
      </c>
      <c r="C127" s="15" t="s">
        <v>413</v>
      </c>
      <c r="D127" s="16">
        <v>8806095500454</v>
      </c>
      <c r="E127" s="14" t="s">
        <v>414</v>
      </c>
      <c r="F127" s="17" t="s">
        <v>415</v>
      </c>
      <c r="G127" s="18">
        <v>4</v>
      </c>
      <c r="H127" s="19">
        <v>2</v>
      </c>
      <c r="I127" s="18">
        <v>0</v>
      </c>
      <c r="J127" s="8" t="s">
        <v>100</v>
      </c>
      <c r="K127" s="14">
        <v>43199</v>
      </c>
      <c r="L127" s="14" t="s">
        <v>400</v>
      </c>
      <c r="M127" s="20" t="s">
        <v>114</v>
      </c>
      <c r="N127" s="14" t="s">
        <v>130</v>
      </c>
      <c r="O127" s="12">
        <f t="shared" si="3"/>
        <v>10</v>
      </c>
      <c r="P127" t="str">
        <f t="shared" si="5"/>
        <v>RT47CG663</v>
      </c>
      <c r="Q127">
        <f t="shared" si="4"/>
        <v>2</v>
      </c>
      <c r="R127" s="21"/>
    </row>
    <row r="128" spans="1:18" x14ac:dyDescent="0.3">
      <c r="A128" s="14">
        <v>7031</v>
      </c>
      <c r="B128" s="8" t="s">
        <v>96</v>
      </c>
      <c r="C128" s="15" t="s">
        <v>416</v>
      </c>
      <c r="D128" s="16">
        <v>8806095500461</v>
      </c>
      <c r="E128" s="14" t="s">
        <v>417</v>
      </c>
      <c r="F128" s="17" t="s">
        <v>418</v>
      </c>
      <c r="G128" s="18">
        <v>5</v>
      </c>
      <c r="H128" s="19">
        <v>4</v>
      </c>
      <c r="I128" s="18">
        <v>0</v>
      </c>
      <c r="J128" s="8" t="s">
        <v>100</v>
      </c>
      <c r="K128" s="14">
        <v>39099</v>
      </c>
      <c r="L128" s="14" t="s">
        <v>400</v>
      </c>
      <c r="M128" s="20" t="s">
        <v>114</v>
      </c>
      <c r="N128" s="14" t="s">
        <v>130</v>
      </c>
      <c r="O128" s="12">
        <f t="shared" si="3"/>
        <v>10</v>
      </c>
      <c r="P128" t="str">
        <f t="shared" si="5"/>
        <v>RT47CG663</v>
      </c>
      <c r="Q128">
        <f t="shared" si="4"/>
        <v>1</v>
      </c>
      <c r="R128" s="21"/>
    </row>
    <row r="129" spans="1:18" x14ac:dyDescent="0.3">
      <c r="A129" s="14">
        <v>5823</v>
      </c>
      <c r="B129" s="8" t="s">
        <v>96</v>
      </c>
      <c r="C129" s="15" t="s">
        <v>419</v>
      </c>
      <c r="D129" s="16">
        <v>8806090803710</v>
      </c>
      <c r="E129" s="14" t="s">
        <v>420</v>
      </c>
      <c r="F129" s="17" t="s">
        <v>421</v>
      </c>
      <c r="G129" s="18">
        <v>1</v>
      </c>
      <c r="H129" s="19">
        <v>0</v>
      </c>
      <c r="I129" s="18">
        <v>0</v>
      </c>
      <c r="J129" s="8" t="s">
        <v>100</v>
      </c>
      <c r="K129" s="14">
        <v>73899</v>
      </c>
      <c r="L129" s="14" t="s">
        <v>400</v>
      </c>
      <c r="M129" s="20" t="s">
        <v>114</v>
      </c>
      <c r="N129" s="14" t="s">
        <v>130</v>
      </c>
      <c r="O129" s="12">
        <f t="shared" si="3"/>
        <v>10</v>
      </c>
      <c r="P129" t="str">
        <f t="shared" si="5"/>
        <v>RF49A5002</v>
      </c>
      <c r="Q129">
        <f t="shared" si="4"/>
        <v>1</v>
      </c>
      <c r="R129" s="21"/>
    </row>
    <row r="130" spans="1:18" x14ac:dyDescent="0.3">
      <c r="A130" s="14">
        <v>7358</v>
      </c>
      <c r="B130" s="8" t="s">
        <v>96</v>
      </c>
      <c r="C130" s="15" t="s">
        <v>422</v>
      </c>
      <c r="D130" s="16">
        <v>8806097078715</v>
      </c>
      <c r="E130" s="14" t="s">
        <v>423</v>
      </c>
      <c r="F130" s="17" t="s">
        <v>424</v>
      </c>
      <c r="G130" s="18">
        <v>7</v>
      </c>
      <c r="H130" s="19">
        <v>7</v>
      </c>
      <c r="I130" s="18">
        <v>0</v>
      </c>
      <c r="J130" s="8" t="s">
        <v>100</v>
      </c>
      <c r="K130" s="14">
        <v>55499</v>
      </c>
      <c r="L130" s="14" t="s">
        <v>400</v>
      </c>
      <c r="M130" s="20" t="s">
        <v>114</v>
      </c>
      <c r="N130" s="14" t="s">
        <v>130</v>
      </c>
      <c r="O130" s="12">
        <f t="shared" si="3"/>
        <v>10</v>
      </c>
      <c r="P130" t="str">
        <f t="shared" si="5"/>
        <v>RB50DG601</v>
      </c>
      <c r="Q130">
        <f t="shared" si="4"/>
        <v>0</v>
      </c>
      <c r="R130" s="21"/>
    </row>
    <row r="131" spans="1:18" x14ac:dyDescent="0.3">
      <c r="A131" s="14">
        <v>6958</v>
      </c>
      <c r="B131" s="8" t="s">
        <v>96</v>
      </c>
      <c r="C131" s="15" t="s">
        <v>425</v>
      </c>
      <c r="D131" s="16">
        <v>8806095403649</v>
      </c>
      <c r="E131" s="14" t="s">
        <v>426</v>
      </c>
      <c r="F131" s="17" t="s">
        <v>427</v>
      </c>
      <c r="G131" s="18">
        <v>7</v>
      </c>
      <c r="H131" s="19">
        <v>5</v>
      </c>
      <c r="I131" s="18">
        <v>0</v>
      </c>
      <c r="J131" s="8" t="s">
        <v>100</v>
      </c>
      <c r="K131" s="14">
        <v>53449</v>
      </c>
      <c r="L131" s="14" t="s">
        <v>400</v>
      </c>
      <c r="M131" s="20" t="s">
        <v>114</v>
      </c>
      <c r="N131" s="14" t="s">
        <v>130</v>
      </c>
      <c r="O131" s="12">
        <f t="shared" ref="O131:O194" si="6">IF(C131&gt;0,10-COUNTIF(AM131:AW131,"-"),"")</f>
        <v>10</v>
      </c>
      <c r="P131" t="str">
        <f t="shared" si="5"/>
        <v>RB50DG601</v>
      </c>
      <c r="Q131">
        <f t="shared" ref="Q131:Q194" si="7">G131-H131</f>
        <v>2</v>
      </c>
      <c r="R131" s="21"/>
    </row>
    <row r="132" spans="1:18" x14ac:dyDescent="0.3">
      <c r="A132" s="14">
        <v>7017</v>
      </c>
      <c r="B132" s="8" t="s">
        <v>96</v>
      </c>
      <c r="C132" s="15" t="s">
        <v>428</v>
      </c>
      <c r="D132" s="16">
        <v>8806095403656</v>
      </c>
      <c r="E132" s="14" t="s">
        <v>429</v>
      </c>
      <c r="F132" s="17" t="s">
        <v>430</v>
      </c>
      <c r="G132" s="18">
        <v>4</v>
      </c>
      <c r="H132" s="19">
        <v>4</v>
      </c>
      <c r="I132" s="18">
        <v>0</v>
      </c>
      <c r="J132" s="8" t="s">
        <v>100</v>
      </c>
      <c r="K132" s="14">
        <v>49699</v>
      </c>
      <c r="L132" s="14" t="s">
        <v>400</v>
      </c>
      <c r="M132" s="20" t="s">
        <v>114</v>
      </c>
      <c r="N132" s="14" t="s">
        <v>130</v>
      </c>
      <c r="O132" s="12">
        <f t="shared" si="6"/>
        <v>10</v>
      </c>
      <c r="P132" t="str">
        <f t="shared" ref="P132:P195" si="8">IF(LEFT(C132,2)="SM",CONCATENATE(LEFT(C132,7),"✦",MID(C132,11,1)),LEFT(C132,9))</f>
        <v>RB50DG601</v>
      </c>
      <c r="Q132">
        <f t="shared" si="7"/>
        <v>0</v>
      </c>
      <c r="R132" s="21"/>
    </row>
    <row r="133" spans="1:18" x14ac:dyDescent="0.3">
      <c r="A133" s="14">
        <v>7020</v>
      </c>
      <c r="B133" s="8" t="s">
        <v>96</v>
      </c>
      <c r="C133" s="15" t="s">
        <v>431</v>
      </c>
      <c r="D133" s="16">
        <v>8806095499963</v>
      </c>
      <c r="E133" s="14" t="s">
        <v>432</v>
      </c>
      <c r="F133" s="17" t="s">
        <v>433</v>
      </c>
      <c r="G133" s="18">
        <v>8</v>
      </c>
      <c r="H133" s="19">
        <v>7</v>
      </c>
      <c r="I133" s="18">
        <v>0</v>
      </c>
      <c r="J133" s="8" t="s">
        <v>100</v>
      </c>
      <c r="K133" s="14">
        <v>62499</v>
      </c>
      <c r="L133" s="14" t="s">
        <v>400</v>
      </c>
      <c r="M133" s="20" t="s">
        <v>114</v>
      </c>
      <c r="N133" s="14" t="s">
        <v>130</v>
      </c>
      <c r="O133" s="12">
        <f t="shared" si="6"/>
        <v>10</v>
      </c>
      <c r="P133" t="str">
        <f t="shared" si="8"/>
        <v>RT50K600P</v>
      </c>
      <c r="Q133">
        <f t="shared" si="7"/>
        <v>1</v>
      </c>
      <c r="R133" s="21"/>
    </row>
    <row r="134" spans="1:18" x14ac:dyDescent="0.3">
      <c r="A134" s="14">
        <v>7287</v>
      </c>
      <c r="B134" s="8" t="s">
        <v>96</v>
      </c>
      <c r="C134" s="15" t="s">
        <v>434</v>
      </c>
      <c r="D134" s="16">
        <v>8806095802442</v>
      </c>
      <c r="E134" s="14" t="s">
        <v>435</v>
      </c>
      <c r="F134" s="17" t="s">
        <v>436</v>
      </c>
      <c r="G134" s="18">
        <v>9</v>
      </c>
      <c r="H134" s="19">
        <v>9</v>
      </c>
      <c r="I134" s="18">
        <v>0</v>
      </c>
      <c r="J134" s="8" t="s">
        <v>100</v>
      </c>
      <c r="K134" s="14">
        <v>57199</v>
      </c>
      <c r="L134" s="14" t="s">
        <v>400</v>
      </c>
      <c r="M134" s="20" t="s">
        <v>114</v>
      </c>
      <c r="N134" s="14" t="s">
        <v>130</v>
      </c>
      <c r="O134" s="12">
        <f t="shared" si="6"/>
        <v>10</v>
      </c>
      <c r="P134" t="str">
        <f t="shared" si="8"/>
        <v>RT53DG7A1</v>
      </c>
      <c r="Q134">
        <f t="shared" si="7"/>
        <v>0</v>
      </c>
      <c r="R134" s="21"/>
    </row>
    <row r="135" spans="1:18" x14ac:dyDescent="0.3">
      <c r="A135" s="14">
        <v>7293</v>
      </c>
      <c r="B135" s="8" t="s">
        <v>96</v>
      </c>
      <c r="C135" s="15" t="s">
        <v>437</v>
      </c>
      <c r="D135" s="16">
        <v>8806095802459</v>
      </c>
      <c r="E135" s="14" t="s">
        <v>438</v>
      </c>
      <c r="F135" s="17" t="s">
        <v>439</v>
      </c>
      <c r="G135" s="22">
        <v>7</v>
      </c>
      <c r="H135" s="19">
        <v>5</v>
      </c>
      <c r="I135" s="18">
        <v>1</v>
      </c>
      <c r="J135" s="8" t="s">
        <v>100</v>
      </c>
      <c r="K135" s="14">
        <v>55999</v>
      </c>
      <c r="L135" s="14" t="s">
        <v>400</v>
      </c>
      <c r="M135" s="20" t="s">
        <v>114</v>
      </c>
      <c r="N135" s="14" t="s">
        <v>130</v>
      </c>
      <c r="O135" s="12">
        <f t="shared" si="6"/>
        <v>10</v>
      </c>
      <c r="P135" t="str">
        <f t="shared" si="8"/>
        <v>RT53DG7A1</v>
      </c>
      <c r="Q135">
        <f t="shared" si="7"/>
        <v>2</v>
      </c>
      <c r="R135" s="21"/>
    </row>
    <row r="136" spans="1:18" x14ac:dyDescent="0.3">
      <c r="A136" s="14">
        <v>7289</v>
      </c>
      <c r="B136" s="8" t="s">
        <v>96</v>
      </c>
      <c r="C136" s="15" t="s">
        <v>440</v>
      </c>
      <c r="D136" s="16">
        <v>8806095802466</v>
      </c>
      <c r="E136" s="14" t="s">
        <v>441</v>
      </c>
      <c r="F136" s="17" t="s">
        <v>442</v>
      </c>
      <c r="G136" s="22">
        <v>4</v>
      </c>
      <c r="H136" s="19">
        <v>3</v>
      </c>
      <c r="I136" s="18">
        <v>0</v>
      </c>
      <c r="J136" s="8" t="s">
        <v>100</v>
      </c>
      <c r="K136" s="14">
        <v>59999</v>
      </c>
      <c r="L136" s="14" t="s">
        <v>400</v>
      </c>
      <c r="M136" s="20" t="s">
        <v>114</v>
      </c>
      <c r="N136" s="14" t="s">
        <v>130</v>
      </c>
      <c r="O136" s="12">
        <f t="shared" si="6"/>
        <v>10</v>
      </c>
      <c r="P136" t="str">
        <f t="shared" si="8"/>
        <v>RT53DG7A6</v>
      </c>
      <c r="Q136">
        <f t="shared" si="7"/>
        <v>1</v>
      </c>
      <c r="R136" s="21"/>
    </row>
    <row r="137" spans="1:18" x14ac:dyDescent="0.3">
      <c r="A137" s="14">
        <v>6978</v>
      </c>
      <c r="B137" s="8" t="s">
        <v>96</v>
      </c>
      <c r="C137" s="15" t="s">
        <v>443</v>
      </c>
      <c r="D137" s="16">
        <v>8806095500478</v>
      </c>
      <c r="E137" s="14" t="s">
        <v>444</v>
      </c>
      <c r="F137" s="17" t="s">
        <v>445</v>
      </c>
      <c r="G137" s="18">
        <v>2</v>
      </c>
      <c r="H137" s="19">
        <v>0</v>
      </c>
      <c r="I137" s="18">
        <v>0</v>
      </c>
      <c r="J137" s="8" t="s">
        <v>100</v>
      </c>
      <c r="K137" s="14">
        <v>59899</v>
      </c>
      <c r="L137" s="14" t="s">
        <v>400</v>
      </c>
      <c r="M137" s="20" t="s">
        <v>114</v>
      </c>
      <c r="N137" s="14" t="s">
        <v>130</v>
      </c>
      <c r="O137" s="12">
        <f t="shared" si="6"/>
        <v>10</v>
      </c>
      <c r="P137" t="str">
        <f t="shared" si="8"/>
        <v>RT53K603P</v>
      </c>
      <c r="Q137">
        <f t="shared" si="7"/>
        <v>2</v>
      </c>
      <c r="R137" s="21"/>
    </row>
    <row r="138" spans="1:18" x14ac:dyDescent="0.3">
      <c r="A138" s="14">
        <v>6891</v>
      </c>
      <c r="B138" s="8" t="s">
        <v>96</v>
      </c>
      <c r="C138" s="15" t="s">
        <v>446</v>
      </c>
      <c r="D138" s="16">
        <v>8806095177465</v>
      </c>
      <c r="E138" s="14" t="s">
        <v>447</v>
      </c>
      <c r="F138" s="17" t="s">
        <v>448</v>
      </c>
      <c r="G138" s="18">
        <v>5</v>
      </c>
      <c r="H138" s="19">
        <v>3</v>
      </c>
      <c r="I138" s="18">
        <v>0</v>
      </c>
      <c r="J138" s="8" t="s">
        <v>100</v>
      </c>
      <c r="K138" s="14">
        <v>96899</v>
      </c>
      <c r="L138" s="14" t="s">
        <v>400</v>
      </c>
      <c r="M138" s="20" t="s">
        <v>114</v>
      </c>
      <c r="N138" s="14" t="s">
        <v>130</v>
      </c>
      <c r="O138" s="12">
        <f t="shared" si="6"/>
        <v>10</v>
      </c>
      <c r="P138" t="str">
        <f t="shared" si="8"/>
        <v>RF57C510E</v>
      </c>
      <c r="Q138">
        <f t="shared" si="7"/>
        <v>2</v>
      </c>
      <c r="R138" s="21"/>
    </row>
    <row r="139" spans="1:18" x14ac:dyDescent="0.3">
      <c r="A139" s="14">
        <v>7082</v>
      </c>
      <c r="B139" s="8" t="s">
        <v>96</v>
      </c>
      <c r="C139" s="15" t="s">
        <v>449</v>
      </c>
      <c r="D139" s="16">
        <v>8806095590516</v>
      </c>
      <c r="E139" s="14" t="s">
        <v>450</v>
      </c>
      <c r="F139" s="17" t="s">
        <v>451</v>
      </c>
      <c r="G139" s="18">
        <v>10</v>
      </c>
      <c r="H139" s="19">
        <v>9</v>
      </c>
      <c r="I139" s="18">
        <v>0</v>
      </c>
      <c r="J139" s="8" t="s">
        <v>100</v>
      </c>
      <c r="K139" s="14">
        <v>59799</v>
      </c>
      <c r="L139" s="14" t="s">
        <v>400</v>
      </c>
      <c r="M139" s="20" t="s">
        <v>114</v>
      </c>
      <c r="N139" s="14" t="s">
        <v>130</v>
      </c>
      <c r="O139" s="12">
        <f t="shared" si="6"/>
        <v>10</v>
      </c>
      <c r="P139" t="str">
        <f t="shared" si="8"/>
        <v>RB58DS75E</v>
      </c>
      <c r="Q139">
        <f t="shared" si="7"/>
        <v>1</v>
      </c>
      <c r="R139" s="21"/>
    </row>
    <row r="140" spans="1:18" x14ac:dyDescent="0.3">
      <c r="A140" s="14">
        <v>7001</v>
      </c>
      <c r="B140" s="8" t="s">
        <v>96</v>
      </c>
      <c r="C140" s="15" t="s">
        <v>452</v>
      </c>
      <c r="D140" s="16">
        <v>8806095590523</v>
      </c>
      <c r="E140" s="14" t="s">
        <v>453</v>
      </c>
      <c r="F140" s="17" t="s">
        <v>454</v>
      </c>
      <c r="G140" s="18">
        <v>5</v>
      </c>
      <c r="H140" s="19">
        <v>2</v>
      </c>
      <c r="I140" s="18">
        <v>1</v>
      </c>
      <c r="J140" s="8" t="s">
        <v>100</v>
      </c>
      <c r="K140" s="14">
        <v>55899</v>
      </c>
      <c r="L140" s="14" t="s">
        <v>400</v>
      </c>
      <c r="M140" s="20" t="s">
        <v>114</v>
      </c>
      <c r="N140" s="14" t="s">
        <v>130</v>
      </c>
      <c r="O140" s="12">
        <f t="shared" si="6"/>
        <v>10</v>
      </c>
      <c r="P140" t="str">
        <f t="shared" si="8"/>
        <v>RB58DS75E</v>
      </c>
      <c r="Q140">
        <f t="shared" si="7"/>
        <v>3</v>
      </c>
      <c r="R140" s="21"/>
    </row>
    <row r="141" spans="1:18" x14ac:dyDescent="0.3">
      <c r="A141" s="14">
        <v>6976</v>
      </c>
      <c r="B141" s="8" t="s">
        <v>96</v>
      </c>
      <c r="C141" s="15" t="s">
        <v>455</v>
      </c>
      <c r="D141" s="16">
        <v>8806095500508</v>
      </c>
      <c r="E141" s="14" t="s">
        <v>456</v>
      </c>
      <c r="F141" s="17" t="s">
        <v>457</v>
      </c>
      <c r="G141" s="18">
        <v>10</v>
      </c>
      <c r="H141" s="19">
        <v>7</v>
      </c>
      <c r="I141" s="18">
        <v>0</v>
      </c>
      <c r="J141" s="8" t="s">
        <v>100</v>
      </c>
      <c r="K141" s="14">
        <v>63549</v>
      </c>
      <c r="L141" s="14" t="s">
        <v>400</v>
      </c>
      <c r="M141" s="20" t="s">
        <v>114</v>
      </c>
      <c r="N141" s="14" t="s">
        <v>130</v>
      </c>
      <c r="O141" s="12">
        <f t="shared" si="6"/>
        <v>10</v>
      </c>
      <c r="P141" t="str">
        <f t="shared" si="8"/>
        <v>RT58K704R</v>
      </c>
      <c r="Q141">
        <f t="shared" si="7"/>
        <v>3</v>
      </c>
      <c r="R141" s="21"/>
    </row>
    <row r="142" spans="1:18" x14ac:dyDescent="0.3">
      <c r="A142" s="14">
        <v>6963</v>
      </c>
      <c r="B142" s="8" t="s">
        <v>96</v>
      </c>
      <c r="C142" s="15" t="s">
        <v>458</v>
      </c>
      <c r="D142" s="16">
        <v>8806095500515</v>
      </c>
      <c r="E142" s="14" t="s">
        <v>459</v>
      </c>
      <c r="F142" s="17" t="s">
        <v>460</v>
      </c>
      <c r="G142" s="18">
        <v>13</v>
      </c>
      <c r="H142" s="19">
        <v>12</v>
      </c>
      <c r="I142" s="18">
        <v>2</v>
      </c>
      <c r="J142" s="8" t="s">
        <v>100</v>
      </c>
      <c r="K142" s="14">
        <v>59799</v>
      </c>
      <c r="L142" s="14" t="s">
        <v>400</v>
      </c>
      <c r="M142" s="20" t="s">
        <v>114</v>
      </c>
      <c r="N142" s="14" t="s">
        <v>130</v>
      </c>
      <c r="O142" s="12">
        <f t="shared" si="6"/>
        <v>10</v>
      </c>
      <c r="P142" t="str">
        <f t="shared" si="8"/>
        <v>RT58K704R</v>
      </c>
      <c r="Q142">
        <f t="shared" si="7"/>
        <v>1</v>
      </c>
      <c r="R142" s="21"/>
    </row>
    <row r="143" spans="1:18" x14ac:dyDescent="0.3">
      <c r="A143" s="14">
        <v>6973</v>
      </c>
      <c r="B143" s="8" t="s">
        <v>96</v>
      </c>
      <c r="C143" s="15" t="s">
        <v>461</v>
      </c>
      <c r="D143" s="16">
        <v>8806095500522</v>
      </c>
      <c r="E143" s="14" t="s">
        <v>462</v>
      </c>
      <c r="F143" s="17" t="s">
        <v>463</v>
      </c>
      <c r="G143" s="18">
        <v>4</v>
      </c>
      <c r="H143" s="19">
        <v>2</v>
      </c>
      <c r="I143" s="18">
        <v>0</v>
      </c>
      <c r="J143" s="8" t="s">
        <v>100</v>
      </c>
      <c r="K143" s="14">
        <v>69599</v>
      </c>
      <c r="L143" s="14" t="s">
        <v>400</v>
      </c>
      <c r="M143" s="20" t="s">
        <v>114</v>
      </c>
      <c r="N143" s="14" t="s">
        <v>130</v>
      </c>
      <c r="O143" s="12">
        <f t="shared" si="6"/>
        <v>10</v>
      </c>
      <c r="P143" t="str">
        <f t="shared" si="8"/>
        <v>RT62K704R</v>
      </c>
      <c r="Q143">
        <f t="shared" si="7"/>
        <v>2</v>
      </c>
      <c r="R143" s="21"/>
    </row>
    <row r="144" spans="1:18" x14ac:dyDescent="0.3">
      <c r="A144" s="14">
        <v>6974</v>
      </c>
      <c r="B144" s="8" t="s">
        <v>96</v>
      </c>
      <c r="C144" s="15" t="s">
        <v>464</v>
      </c>
      <c r="D144" s="16">
        <v>8806095500539</v>
      </c>
      <c r="E144" s="14" t="s">
        <v>465</v>
      </c>
      <c r="F144" s="17" t="s">
        <v>466</v>
      </c>
      <c r="G144" s="18">
        <v>9</v>
      </c>
      <c r="H144" s="19">
        <v>8</v>
      </c>
      <c r="I144" s="18">
        <v>0</v>
      </c>
      <c r="J144" s="8" t="s">
        <v>100</v>
      </c>
      <c r="K144" s="14">
        <v>65849</v>
      </c>
      <c r="L144" s="14" t="s">
        <v>400</v>
      </c>
      <c r="M144" s="20" t="s">
        <v>114</v>
      </c>
      <c r="N144" s="14" t="s">
        <v>130</v>
      </c>
      <c r="O144" s="12">
        <f t="shared" si="6"/>
        <v>10</v>
      </c>
      <c r="P144" t="str">
        <f t="shared" si="8"/>
        <v>RT62K704R</v>
      </c>
      <c r="Q144">
        <f t="shared" si="7"/>
        <v>1</v>
      </c>
      <c r="R144" s="21"/>
    </row>
    <row r="145" spans="1:18" x14ac:dyDescent="0.3">
      <c r="A145" s="14">
        <v>7050</v>
      </c>
      <c r="B145" s="8" t="s">
        <v>96</v>
      </c>
      <c r="C145" s="15" t="s">
        <v>467</v>
      </c>
      <c r="D145" s="16">
        <v>8806095499208</v>
      </c>
      <c r="E145" s="14" t="s">
        <v>468</v>
      </c>
      <c r="F145" s="17" t="s">
        <v>469</v>
      </c>
      <c r="G145" s="18">
        <v>4</v>
      </c>
      <c r="H145" s="19">
        <v>2</v>
      </c>
      <c r="I145" s="18">
        <v>0</v>
      </c>
      <c r="J145" s="8" t="s">
        <v>100</v>
      </c>
      <c r="K145" s="14">
        <v>113999</v>
      </c>
      <c r="L145" s="14" t="s">
        <v>400</v>
      </c>
      <c r="M145" s="20" t="s">
        <v>114</v>
      </c>
      <c r="N145" s="14" t="s">
        <v>130</v>
      </c>
      <c r="O145" s="12">
        <f t="shared" si="6"/>
        <v>10</v>
      </c>
      <c r="P145" t="str">
        <f t="shared" si="8"/>
        <v>RF65DG90B</v>
      </c>
      <c r="Q145">
        <f t="shared" si="7"/>
        <v>2</v>
      </c>
      <c r="R145" s="21"/>
    </row>
    <row r="146" spans="1:18" x14ac:dyDescent="0.3">
      <c r="A146" s="14">
        <v>7377</v>
      </c>
      <c r="B146" s="8" t="s">
        <v>96</v>
      </c>
      <c r="C146" s="15" t="s">
        <v>470</v>
      </c>
      <c r="D146" s="16">
        <v>8806097164197</v>
      </c>
      <c r="E146" s="14" t="s">
        <v>471</v>
      </c>
      <c r="F146" s="17" t="s">
        <v>472</v>
      </c>
      <c r="G146" s="18">
        <v>3</v>
      </c>
      <c r="H146" s="19">
        <v>2</v>
      </c>
      <c r="I146" s="18">
        <v>0</v>
      </c>
      <c r="J146" s="8" t="s">
        <v>100</v>
      </c>
      <c r="K146" s="14">
        <v>81949</v>
      </c>
      <c r="L146" s="14" t="s">
        <v>400</v>
      </c>
      <c r="M146" s="20" t="s">
        <v>114</v>
      </c>
      <c r="N146" s="14" t="s">
        <v>130</v>
      </c>
      <c r="O146" s="12">
        <f t="shared" si="6"/>
        <v>10</v>
      </c>
      <c r="P146" t="str">
        <f t="shared" si="8"/>
        <v>RS70F65QE</v>
      </c>
      <c r="Q146">
        <f t="shared" si="7"/>
        <v>1</v>
      </c>
      <c r="R146" s="21"/>
    </row>
    <row r="147" spans="1:18" x14ac:dyDescent="0.3">
      <c r="A147" s="14">
        <v>7361</v>
      </c>
      <c r="B147" s="8" t="s">
        <v>96</v>
      </c>
      <c r="C147" s="15" t="s">
        <v>473</v>
      </c>
      <c r="D147" s="16">
        <v>8806097164227</v>
      </c>
      <c r="E147" s="14" t="s">
        <v>474</v>
      </c>
      <c r="F147" s="17" t="s">
        <v>475</v>
      </c>
      <c r="G147" s="18">
        <v>2</v>
      </c>
      <c r="H147" s="19">
        <v>2</v>
      </c>
      <c r="I147" s="18">
        <v>0</v>
      </c>
      <c r="J147" s="8" t="s">
        <v>100</v>
      </c>
      <c r="K147" s="14">
        <v>81949</v>
      </c>
      <c r="L147" s="14" t="s">
        <v>400</v>
      </c>
      <c r="M147" s="20" t="s">
        <v>114</v>
      </c>
      <c r="N147" s="14" t="s">
        <v>130</v>
      </c>
      <c r="O147" s="12">
        <f t="shared" si="6"/>
        <v>10</v>
      </c>
      <c r="P147" t="str">
        <f t="shared" si="8"/>
        <v>RS70F65QE</v>
      </c>
      <c r="Q147">
        <f t="shared" si="7"/>
        <v>0</v>
      </c>
      <c r="R147" s="21"/>
    </row>
    <row r="148" spans="1:18" x14ac:dyDescent="0.3">
      <c r="A148" s="14">
        <v>7016</v>
      </c>
      <c r="B148" s="8" t="s">
        <v>96</v>
      </c>
      <c r="C148" s="15" t="s">
        <v>476</v>
      </c>
      <c r="D148" s="16">
        <v>8806095487090</v>
      </c>
      <c r="E148" s="14" t="s">
        <v>477</v>
      </c>
      <c r="F148" s="17" t="s">
        <v>478</v>
      </c>
      <c r="G148" s="18">
        <v>6</v>
      </c>
      <c r="H148" s="19">
        <v>4</v>
      </c>
      <c r="I148" s="18">
        <v>0</v>
      </c>
      <c r="J148" s="8" t="s">
        <v>100</v>
      </c>
      <c r="K148" s="14">
        <v>169349</v>
      </c>
      <c r="L148" s="14" t="s">
        <v>400</v>
      </c>
      <c r="M148" s="20" t="s">
        <v>114</v>
      </c>
      <c r="N148" s="14" t="s">
        <v>130</v>
      </c>
      <c r="O148" s="12">
        <f t="shared" si="6"/>
        <v>10</v>
      </c>
      <c r="P148" t="str">
        <f t="shared" si="8"/>
        <v>RF71DB965</v>
      </c>
      <c r="Q148">
        <f t="shared" si="7"/>
        <v>2</v>
      </c>
      <c r="R148" s="21"/>
    </row>
    <row r="149" spans="1:18" x14ac:dyDescent="0.3">
      <c r="A149" s="14">
        <v>7018</v>
      </c>
      <c r="B149" s="8" t="s">
        <v>96</v>
      </c>
      <c r="C149" s="15" t="s">
        <v>479</v>
      </c>
      <c r="D149" s="16">
        <v>8806095487106</v>
      </c>
      <c r="E149" s="14" t="s">
        <v>480</v>
      </c>
      <c r="F149" s="17" t="s">
        <v>481</v>
      </c>
      <c r="G149" s="18">
        <v>2</v>
      </c>
      <c r="H149" s="19">
        <v>2</v>
      </c>
      <c r="I149" s="18">
        <v>0</v>
      </c>
      <c r="J149" s="8" t="s">
        <v>100</v>
      </c>
      <c r="K149" s="14">
        <v>146649</v>
      </c>
      <c r="L149" s="14" t="s">
        <v>400</v>
      </c>
      <c r="M149" s="20" t="s">
        <v>114</v>
      </c>
      <c r="N149" s="14" t="s">
        <v>130</v>
      </c>
      <c r="O149" s="12">
        <f t="shared" si="6"/>
        <v>10</v>
      </c>
      <c r="P149" t="str">
        <f t="shared" si="8"/>
        <v>RF71DG90B</v>
      </c>
      <c r="Q149">
        <f t="shared" si="7"/>
        <v>0</v>
      </c>
      <c r="R149" s="21"/>
    </row>
    <row r="150" spans="1:18" x14ac:dyDescent="0.3">
      <c r="A150" s="14">
        <v>6975</v>
      </c>
      <c r="B150" s="8" t="s">
        <v>96</v>
      </c>
      <c r="C150" s="15" t="s">
        <v>482</v>
      </c>
      <c r="D150" s="16">
        <v>8806095593043</v>
      </c>
      <c r="E150" s="14" t="s">
        <v>483</v>
      </c>
      <c r="F150" s="17" t="s">
        <v>484</v>
      </c>
      <c r="G150" s="18">
        <v>15</v>
      </c>
      <c r="H150" s="19">
        <v>12</v>
      </c>
      <c r="I150" s="18">
        <v>1</v>
      </c>
      <c r="J150" s="8" t="s">
        <v>100</v>
      </c>
      <c r="K150" s="14">
        <v>20399</v>
      </c>
      <c r="L150" s="14" t="s">
        <v>485</v>
      </c>
      <c r="M150" s="20" t="s">
        <v>114</v>
      </c>
      <c r="N150" s="14" t="s">
        <v>130</v>
      </c>
      <c r="O150" s="12">
        <f t="shared" si="6"/>
        <v>10</v>
      </c>
      <c r="P150" t="str">
        <f t="shared" si="8"/>
        <v>RZ20DG300</v>
      </c>
      <c r="Q150">
        <f t="shared" si="7"/>
        <v>3</v>
      </c>
      <c r="R150" s="21"/>
    </row>
    <row r="151" spans="1:18" x14ac:dyDescent="0.3">
      <c r="A151" s="14">
        <v>7327</v>
      </c>
      <c r="B151" s="8" t="s">
        <v>96</v>
      </c>
      <c r="C151" s="15">
        <v>20269441</v>
      </c>
      <c r="D151" s="16">
        <v>8698902694414</v>
      </c>
      <c r="E151" s="14" t="s">
        <v>486</v>
      </c>
      <c r="F151" s="17" t="s">
        <v>487</v>
      </c>
      <c r="G151" s="18">
        <v>1</v>
      </c>
      <c r="H151" s="19">
        <v>1</v>
      </c>
      <c r="I151" s="18">
        <v>0</v>
      </c>
      <c r="J151" s="8" t="s">
        <v>100</v>
      </c>
      <c r="K151" s="14">
        <v>39999</v>
      </c>
      <c r="L151" s="14" t="s">
        <v>400</v>
      </c>
      <c r="M151" s="20" t="s">
        <v>237</v>
      </c>
      <c r="N151" s="14" t="s">
        <v>130</v>
      </c>
      <c r="O151" s="12">
        <f t="shared" si="6"/>
        <v>10</v>
      </c>
      <c r="P151" t="str">
        <f t="shared" si="8"/>
        <v>20269441</v>
      </c>
      <c r="Q151">
        <f t="shared" si="7"/>
        <v>0</v>
      </c>
      <c r="R151" s="21"/>
    </row>
    <row r="152" spans="1:18" x14ac:dyDescent="0.3">
      <c r="A152" s="14">
        <v>6917</v>
      </c>
      <c r="B152" s="8" t="s">
        <v>96</v>
      </c>
      <c r="C152" s="15">
        <v>20268312</v>
      </c>
      <c r="D152" s="16">
        <v>8698902683128</v>
      </c>
      <c r="E152" s="14" t="s">
        <v>488</v>
      </c>
      <c r="F152" s="17" t="s">
        <v>489</v>
      </c>
      <c r="G152" s="18">
        <v>46</v>
      </c>
      <c r="H152" s="19">
        <v>44</v>
      </c>
      <c r="I152" s="18">
        <v>2</v>
      </c>
      <c r="J152" s="8" t="s">
        <v>100</v>
      </c>
      <c r="K152" s="14">
        <v>33349</v>
      </c>
      <c r="L152" s="14" t="s">
        <v>400</v>
      </c>
      <c r="M152" s="20" t="s">
        <v>237</v>
      </c>
      <c r="N152" s="14" t="s">
        <v>130</v>
      </c>
      <c r="O152" s="12">
        <f t="shared" si="6"/>
        <v>10</v>
      </c>
      <c r="P152" t="str">
        <f t="shared" si="8"/>
        <v>20268312</v>
      </c>
      <c r="Q152">
        <f t="shared" si="7"/>
        <v>2</v>
      </c>
      <c r="R152" s="21"/>
    </row>
    <row r="153" spans="1:18" x14ac:dyDescent="0.3">
      <c r="A153" s="14">
        <v>5671</v>
      </c>
      <c r="B153" s="8" t="s">
        <v>96</v>
      </c>
      <c r="C153" s="15">
        <v>20263157</v>
      </c>
      <c r="D153" s="16">
        <v>8698902631570</v>
      </c>
      <c r="E153" s="14" t="s">
        <v>490</v>
      </c>
      <c r="F153" s="17" t="s">
        <v>491</v>
      </c>
      <c r="G153" s="18">
        <v>1</v>
      </c>
      <c r="H153" s="19">
        <v>1</v>
      </c>
      <c r="I153" s="18">
        <v>1</v>
      </c>
      <c r="J153" s="8" t="s">
        <v>100</v>
      </c>
      <c r="K153" s="14">
        <v>46599</v>
      </c>
      <c r="L153" s="14" t="s">
        <v>400</v>
      </c>
      <c r="M153" s="20" t="s">
        <v>237</v>
      </c>
      <c r="N153" s="14" t="s">
        <v>130</v>
      </c>
      <c r="O153" s="12">
        <f t="shared" si="6"/>
        <v>10</v>
      </c>
      <c r="P153" t="str">
        <f t="shared" si="8"/>
        <v>20263157</v>
      </c>
      <c r="Q153">
        <f t="shared" si="7"/>
        <v>0</v>
      </c>
      <c r="R153" s="21"/>
    </row>
    <row r="154" spans="1:18" x14ac:dyDescent="0.3">
      <c r="A154" s="14">
        <v>6877</v>
      </c>
      <c r="B154" s="8" t="s">
        <v>96</v>
      </c>
      <c r="C154" s="15">
        <v>20265525</v>
      </c>
      <c r="D154" s="16">
        <v>8698902655255</v>
      </c>
      <c r="E154" s="14" t="s">
        <v>492</v>
      </c>
      <c r="F154" s="17" t="s">
        <v>493</v>
      </c>
      <c r="G154" s="18">
        <v>6</v>
      </c>
      <c r="H154" s="19">
        <v>5</v>
      </c>
      <c r="I154" s="18">
        <v>0</v>
      </c>
      <c r="J154" s="8" t="s">
        <v>100</v>
      </c>
      <c r="K154" s="14">
        <v>46299</v>
      </c>
      <c r="L154" s="14" t="s">
        <v>400</v>
      </c>
      <c r="M154" s="20" t="s">
        <v>237</v>
      </c>
      <c r="N154" s="14" t="s">
        <v>130</v>
      </c>
      <c r="O154" s="12">
        <f t="shared" si="6"/>
        <v>10</v>
      </c>
      <c r="P154" t="str">
        <f t="shared" si="8"/>
        <v>20265525</v>
      </c>
      <c r="Q154">
        <f t="shared" si="7"/>
        <v>1</v>
      </c>
      <c r="R154" s="21"/>
    </row>
    <row r="155" spans="1:18" x14ac:dyDescent="0.3">
      <c r="A155" s="14">
        <v>6557</v>
      </c>
      <c r="B155" s="8" t="s">
        <v>96</v>
      </c>
      <c r="C155" s="15">
        <v>20265590</v>
      </c>
      <c r="D155" s="16">
        <v>8698902655903</v>
      </c>
      <c r="E155" s="14" t="s">
        <v>494</v>
      </c>
      <c r="F155" s="17" t="s">
        <v>495</v>
      </c>
      <c r="G155" s="18">
        <v>12</v>
      </c>
      <c r="H155" s="19">
        <v>10</v>
      </c>
      <c r="I155" s="18">
        <v>1</v>
      </c>
      <c r="J155" s="8" t="s">
        <v>100</v>
      </c>
      <c r="K155" s="14">
        <v>51749</v>
      </c>
      <c r="L155" s="14" t="s">
        <v>400</v>
      </c>
      <c r="M155" s="20" t="s">
        <v>237</v>
      </c>
      <c r="N155" s="14" t="s">
        <v>130</v>
      </c>
      <c r="O155" s="12">
        <f t="shared" si="6"/>
        <v>10</v>
      </c>
      <c r="P155" t="str">
        <f t="shared" si="8"/>
        <v>20265590</v>
      </c>
      <c r="Q155">
        <f t="shared" si="7"/>
        <v>2</v>
      </c>
      <c r="R155" s="21"/>
    </row>
    <row r="156" spans="1:18" x14ac:dyDescent="0.3">
      <c r="A156" s="14">
        <v>6616</v>
      </c>
      <c r="B156" s="8" t="s">
        <v>96</v>
      </c>
      <c r="C156" s="15">
        <v>20265589</v>
      </c>
      <c r="D156" s="16">
        <v>8698902655897</v>
      </c>
      <c r="E156" s="14" t="s">
        <v>496</v>
      </c>
      <c r="F156" s="17" t="s">
        <v>497</v>
      </c>
      <c r="G156" s="18">
        <v>6</v>
      </c>
      <c r="H156" s="19">
        <v>6</v>
      </c>
      <c r="I156" s="18">
        <v>0</v>
      </c>
      <c r="J156" s="8" t="s">
        <v>100</v>
      </c>
      <c r="K156" s="14">
        <v>56649</v>
      </c>
      <c r="L156" s="14" t="s">
        <v>400</v>
      </c>
      <c r="M156" s="20" t="s">
        <v>237</v>
      </c>
      <c r="N156" s="14" t="s">
        <v>130</v>
      </c>
      <c r="O156" s="12">
        <f t="shared" si="6"/>
        <v>10</v>
      </c>
      <c r="P156" t="str">
        <f t="shared" si="8"/>
        <v>20265589</v>
      </c>
      <c r="Q156">
        <f t="shared" si="7"/>
        <v>0</v>
      </c>
      <c r="R156" s="21"/>
    </row>
    <row r="157" spans="1:18" x14ac:dyDescent="0.3">
      <c r="A157" s="14">
        <v>6556</v>
      </c>
      <c r="B157" s="8" t="s">
        <v>96</v>
      </c>
      <c r="C157" s="15">
        <v>20265588</v>
      </c>
      <c r="D157" s="16">
        <v>8698902655880</v>
      </c>
      <c r="E157" s="14" t="s">
        <v>498</v>
      </c>
      <c r="F157" s="17" t="s">
        <v>499</v>
      </c>
      <c r="G157" s="18">
        <v>16</v>
      </c>
      <c r="H157" s="19">
        <v>14</v>
      </c>
      <c r="I157" s="18">
        <v>0</v>
      </c>
      <c r="J157" s="8" t="s">
        <v>100</v>
      </c>
      <c r="K157" s="14">
        <v>58649</v>
      </c>
      <c r="L157" s="14" t="s">
        <v>400</v>
      </c>
      <c r="M157" s="20" t="s">
        <v>237</v>
      </c>
      <c r="N157" s="14" t="s">
        <v>130</v>
      </c>
      <c r="O157" s="12">
        <f t="shared" si="6"/>
        <v>10</v>
      </c>
      <c r="P157" t="str">
        <f t="shared" si="8"/>
        <v>20265588</v>
      </c>
      <c r="Q157">
        <f t="shared" si="7"/>
        <v>2</v>
      </c>
      <c r="R157" s="21"/>
    </row>
    <row r="158" spans="1:18" x14ac:dyDescent="0.3">
      <c r="A158" s="14">
        <v>5817</v>
      </c>
      <c r="B158" s="8" t="s">
        <v>96</v>
      </c>
      <c r="C158" s="15">
        <v>20263676</v>
      </c>
      <c r="D158" s="16">
        <v>8698902636766</v>
      </c>
      <c r="E158" s="14" t="s">
        <v>500</v>
      </c>
      <c r="F158" s="17" t="s">
        <v>501</v>
      </c>
      <c r="G158" s="18">
        <v>3</v>
      </c>
      <c r="H158" s="19">
        <v>3</v>
      </c>
      <c r="I158" s="18">
        <v>0</v>
      </c>
      <c r="J158" s="8" t="s">
        <v>100</v>
      </c>
      <c r="K158" s="14">
        <v>61499</v>
      </c>
      <c r="L158" s="14" t="s">
        <v>400</v>
      </c>
      <c r="M158" s="20" t="s">
        <v>237</v>
      </c>
      <c r="N158" s="14" t="s">
        <v>130</v>
      </c>
      <c r="O158" s="12">
        <f t="shared" si="6"/>
        <v>10</v>
      </c>
      <c r="P158" t="str">
        <f t="shared" si="8"/>
        <v>20263676</v>
      </c>
      <c r="Q158">
        <f t="shared" si="7"/>
        <v>0</v>
      </c>
      <c r="R158" s="21"/>
    </row>
    <row r="159" spans="1:18" x14ac:dyDescent="0.3">
      <c r="A159" s="14">
        <v>5501</v>
      </c>
      <c r="B159" s="8" t="s">
        <v>96</v>
      </c>
      <c r="C159" s="15">
        <v>20263127</v>
      </c>
      <c r="D159" s="16">
        <v>8698902631273</v>
      </c>
      <c r="E159" s="14" t="s">
        <v>502</v>
      </c>
      <c r="F159" s="17" t="s">
        <v>503</v>
      </c>
      <c r="G159" s="18">
        <v>1</v>
      </c>
      <c r="H159" s="19">
        <v>0</v>
      </c>
      <c r="I159" s="18">
        <v>0</v>
      </c>
      <c r="J159" s="8" t="s">
        <v>100</v>
      </c>
      <c r="K159" s="14">
        <v>54349</v>
      </c>
      <c r="L159" s="14" t="s">
        <v>400</v>
      </c>
      <c r="M159" s="20" t="s">
        <v>237</v>
      </c>
      <c r="N159" s="14" t="s">
        <v>130</v>
      </c>
      <c r="O159" s="12">
        <f t="shared" si="6"/>
        <v>10</v>
      </c>
      <c r="P159" t="str">
        <f t="shared" si="8"/>
        <v>20263127</v>
      </c>
      <c r="Q159">
        <f t="shared" si="7"/>
        <v>1</v>
      </c>
      <c r="R159" s="21"/>
    </row>
    <row r="160" spans="1:18" x14ac:dyDescent="0.3">
      <c r="A160" s="14">
        <v>6981</v>
      </c>
      <c r="B160" s="8" t="s">
        <v>96</v>
      </c>
      <c r="C160" s="15">
        <v>20268350</v>
      </c>
      <c r="D160" s="16">
        <v>8698902683500</v>
      </c>
      <c r="E160" s="14" t="s">
        <v>504</v>
      </c>
      <c r="F160" s="17" t="s">
        <v>505</v>
      </c>
      <c r="G160" s="18">
        <v>8</v>
      </c>
      <c r="H160" s="19">
        <v>8</v>
      </c>
      <c r="I160" s="18">
        <v>0</v>
      </c>
      <c r="J160" s="8" t="s">
        <v>100</v>
      </c>
      <c r="K160" s="14">
        <v>37099</v>
      </c>
      <c r="L160" s="14" t="s">
        <v>400</v>
      </c>
      <c r="M160" s="20" t="s">
        <v>237</v>
      </c>
      <c r="N160" s="14" t="s">
        <v>130</v>
      </c>
      <c r="O160" s="12">
        <f t="shared" si="6"/>
        <v>10</v>
      </c>
      <c r="P160" t="str">
        <f t="shared" si="8"/>
        <v>20268350</v>
      </c>
      <c r="Q160">
        <f t="shared" si="7"/>
        <v>0</v>
      </c>
      <c r="R160" s="21"/>
    </row>
    <row r="161" spans="1:18" x14ac:dyDescent="0.3">
      <c r="A161" s="14">
        <v>6354</v>
      </c>
      <c r="B161" s="8" t="s">
        <v>96</v>
      </c>
      <c r="C161" s="15">
        <v>20264838</v>
      </c>
      <c r="D161" s="16">
        <v>8698902648387</v>
      </c>
      <c r="E161" s="14" t="s">
        <v>506</v>
      </c>
      <c r="F161" s="17" t="s">
        <v>507</v>
      </c>
      <c r="G161" s="18">
        <v>3</v>
      </c>
      <c r="H161" s="19">
        <v>1</v>
      </c>
      <c r="I161" s="18">
        <v>0</v>
      </c>
      <c r="J161" s="8" t="s">
        <v>100</v>
      </c>
      <c r="K161" s="14">
        <v>43699</v>
      </c>
      <c r="L161" s="14" t="s">
        <v>400</v>
      </c>
      <c r="M161" s="20" t="s">
        <v>237</v>
      </c>
      <c r="N161" s="14" t="s">
        <v>130</v>
      </c>
      <c r="O161" s="12">
        <f t="shared" si="6"/>
        <v>10</v>
      </c>
      <c r="P161" t="str">
        <f t="shared" si="8"/>
        <v>20264838</v>
      </c>
      <c r="Q161">
        <f t="shared" si="7"/>
        <v>2</v>
      </c>
      <c r="R161" s="21"/>
    </row>
    <row r="162" spans="1:18" x14ac:dyDescent="0.3">
      <c r="A162" s="14">
        <v>7112</v>
      </c>
      <c r="B162" s="8" t="s">
        <v>96</v>
      </c>
      <c r="C162" s="15">
        <v>20268346</v>
      </c>
      <c r="D162" s="16">
        <v>8698902683463</v>
      </c>
      <c r="E162" s="14" t="s">
        <v>508</v>
      </c>
      <c r="F162" s="17" t="s">
        <v>509</v>
      </c>
      <c r="G162" s="18">
        <v>3</v>
      </c>
      <c r="H162" s="19">
        <v>3</v>
      </c>
      <c r="I162" s="18">
        <v>0</v>
      </c>
      <c r="J162" s="8" t="s">
        <v>100</v>
      </c>
      <c r="K162" s="14">
        <v>46599</v>
      </c>
      <c r="L162" s="14" t="s">
        <v>400</v>
      </c>
      <c r="M162" s="20" t="s">
        <v>237</v>
      </c>
      <c r="N162" s="14" t="s">
        <v>130</v>
      </c>
      <c r="O162" s="12">
        <f t="shared" si="6"/>
        <v>10</v>
      </c>
      <c r="P162" t="str">
        <f t="shared" si="8"/>
        <v>20268346</v>
      </c>
      <c r="Q162">
        <f t="shared" si="7"/>
        <v>0</v>
      </c>
      <c r="R162" s="21"/>
    </row>
    <row r="163" spans="1:18" x14ac:dyDescent="0.3">
      <c r="A163" s="14">
        <v>7448</v>
      </c>
      <c r="B163" s="8" t="s">
        <v>96</v>
      </c>
      <c r="C163" s="15">
        <v>20269634</v>
      </c>
      <c r="D163" s="16">
        <v>8698902696340</v>
      </c>
      <c r="E163" s="14" t="s">
        <v>510</v>
      </c>
      <c r="F163" s="17" t="s">
        <v>511</v>
      </c>
      <c r="G163" s="18">
        <v>19</v>
      </c>
      <c r="H163" s="19">
        <v>18</v>
      </c>
      <c r="I163" s="18">
        <v>0</v>
      </c>
      <c r="J163" s="8" t="s">
        <v>100</v>
      </c>
      <c r="K163" s="14">
        <v>41500</v>
      </c>
      <c r="L163" s="14" t="s">
        <v>400</v>
      </c>
      <c r="M163" s="20" t="s">
        <v>237</v>
      </c>
      <c r="N163" s="14" t="s">
        <v>130</v>
      </c>
      <c r="O163" s="12">
        <f t="shared" si="6"/>
        <v>10</v>
      </c>
      <c r="P163" t="str">
        <f t="shared" si="8"/>
        <v>20269634</v>
      </c>
      <c r="Q163">
        <f t="shared" si="7"/>
        <v>1</v>
      </c>
      <c r="R163" s="21"/>
    </row>
    <row r="164" spans="1:18" x14ac:dyDescent="0.3">
      <c r="A164" s="14">
        <v>6069</v>
      </c>
      <c r="B164" s="8" t="s">
        <v>96</v>
      </c>
      <c r="C164" s="15">
        <v>20264834</v>
      </c>
      <c r="D164" s="16">
        <v>8698902648349</v>
      </c>
      <c r="E164" s="14" t="s">
        <v>512</v>
      </c>
      <c r="F164" s="17" t="s">
        <v>513</v>
      </c>
      <c r="G164" s="18">
        <v>1</v>
      </c>
      <c r="H164" s="19">
        <v>1</v>
      </c>
      <c r="I164" s="18">
        <v>0</v>
      </c>
      <c r="J164" s="8" t="s">
        <v>100</v>
      </c>
      <c r="K164" s="14">
        <v>55749</v>
      </c>
      <c r="L164" s="14" t="s">
        <v>400</v>
      </c>
      <c r="M164" s="20" t="s">
        <v>237</v>
      </c>
      <c r="N164" s="14" t="s">
        <v>130</v>
      </c>
      <c r="O164" s="12">
        <f t="shared" si="6"/>
        <v>10</v>
      </c>
      <c r="P164" t="str">
        <f t="shared" si="8"/>
        <v>20264834</v>
      </c>
      <c r="Q164">
        <f t="shared" si="7"/>
        <v>0</v>
      </c>
      <c r="R164" s="21"/>
    </row>
    <row r="165" spans="1:18" x14ac:dyDescent="0.3">
      <c r="A165" s="14">
        <v>6634</v>
      </c>
      <c r="B165" s="8" t="s">
        <v>96</v>
      </c>
      <c r="C165" s="15">
        <v>20265213</v>
      </c>
      <c r="D165" s="16">
        <v>8698902652131</v>
      </c>
      <c r="E165" s="14" t="s">
        <v>514</v>
      </c>
      <c r="F165" s="17" t="s">
        <v>515</v>
      </c>
      <c r="G165" s="18">
        <v>6</v>
      </c>
      <c r="H165" s="19">
        <v>4</v>
      </c>
      <c r="I165" s="18">
        <v>0</v>
      </c>
      <c r="J165" s="8" t="s">
        <v>100</v>
      </c>
      <c r="K165" s="14">
        <v>54049</v>
      </c>
      <c r="L165" s="14" t="s">
        <v>400</v>
      </c>
      <c r="M165" s="20" t="s">
        <v>237</v>
      </c>
      <c r="N165" s="14" t="s">
        <v>130</v>
      </c>
      <c r="O165" s="12">
        <f t="shared" si="6"/>
        <v>10</v>
      </c>
      <c r="P165" t="str">
        <f t="shared" si="8"/>
        <v>20265213</v>
      </c>
      <c r="Q165">
        <f t="shared" si="7"/>
        <v>2</v>
      </c>
      <c r="R165" s="21"/>
    </row>
    <row r="166" spans="1:18" x14ac:dyDescent="0.3">
      <c r="A166" s="14">
        <v>6653</v>
      </c>
      <c r="B166" s="8" t="s">
        <v>96</v>
      </c>
      <c r="C166" s="15">
        <v>20265212</v>
      </c>
      <c r="D166" s="16">
        <v>8698902652124</v>
      </c>
      <c r="E166" s="14" t="s">
        <v>516</v>
      </c>
      <c r="F166" s="17" t="s">
        <v>517</v>
      </c>
      <c r="G166" s="18">
        <v>2</v>
      </c>
      <c r="H166" s="19">
        <v>1</v>
      </c>
      <c r="I166" s="18">
        <v>0</v>
      </c>
      <c r="J166" s="8" t="s">
        <v>100</v>
      </c>
      <c r="K166" s="14">
        <v>56899</v>
      </c>
      <c r="L166" s="14" t="s">
        <v>400</v>
      </c>
      <c r="M166" s="20" t="s">
        <v>237</v>
      </c>
      <c r="N166" s="14" t="s">
        <v>130</v>
      </c>
      <c r="O166" s="12">
        <f t="shared" si="6"/>
        <v>10</v>
      </c>
      <c r="P166" t="str">
        <f t="shared" si="8"/>
        <v>20265212</v>
      </c>
      <c r="Q166">
        <f t="shared" si="7"/>
        <v>1</v>
      </c>
      <c r="R166" s="21"/>
    </row>
    <row r="167" spans="1:18" x14ac:dyDescent="0.3">
      <c r="A167" s="14">
        <v>6070</v>
      </c>
      <c r="B167" s="8" t="s">
        <v>96</v>
      </c>
      <c r="C167" s="15">
        <v>20264833</v>
      </c>
      <c r="D167" s="16">
        <v>8698902648332</v>
      </c>
      <c r="E167" s="14" t="s">
        <v>518</v>
      </c>
      <c r="F167" s="17" t="s">
        <v>519</v>
      </c>
      <c r="G167" s="18">
        <v>12</v>
      </c>
      <c r="H167" s="19">
        <v>10</v>
      </c>
      <c r="I167" s="18">
        <v>1</v>
      </c>
      <c r="J167" s="8" t="s">
        <v>100</v>
      </c>
      <c r="K167" s="14">
        <v>55299</v>
      </c>
      <c r="L167" s="14" t="s">
        <v>400</v>
      </c>
      <c r="M167" s="20" t="s">
        <v>237</v>
      </c>
      <c r="N167" s="14" t="s">
        <v>130</v>
      </c>
      <c r="O167" s="12">
        <f t="shared" si="6"/>
        <v>10</v>
      </c>
      <c r="P167" t="str">
        <f t="shared" si="8"/>
        <v>20264833</v>
      </c>
      <c r="Q167">
        <f t="shared" si="7"/>
        <v>2</v>
      </c>
      <c r="R167" s="21"/>
    </row>
    <row r="168" spans="1:18" x14ac:dyDescent="0.3">
      <c r="A168" s="14">
        <v>6090</v>
      </c>
      <c r="B168" s="8" t="s">
        <v>96</v>
      </c>
      <c r="C168" s="15">
        <v>20264832</v>
      </c>
      <c r="D168" s="16">
        <v>8698902648325</v>
      </c>
      <c r="E168" s="14" t="s">
        <v>520</v>
      </c>
      <c r="F168" s="17" t="s">
        <v>521</v>
      </c>
      <c r="G168" s="18">
        <v>4</v>
      </c>
      <c r="H168" s="19">
        <v>4</v>
      </c>
      <c r="I168" s="18">
        <v>0</v>
      </c>
      <c r="J168" s="8" t="s">
        <v>100</v>
      </c>
      <c r="K168" s="14">
        <v>59399</v>
      </c>
      <c r="L168" s="14" t="s">
        <v>400</v>
      </c>
      <c r="M168" s="20" t="s">
        <v>237</v>
      </c>
      <c r="N168" s="14" t="s">
        <v>130</v>
      </c>
      <c r="O168" s="12">
        <f t="shared" si="6"/>
        <v>10</v>
      </c>
      <c r="P168" t="str">
        <f t="shared" si="8"/>
        <v>20264832</v>
      </c>
      <c r="Q168">
        <f t="shared" si="7"/>
        <v>0</v>
      </c>
      <c r="R168" s="21"/>
    </row>
    <row r="169" spans="1:18" x14ac:dyDescent="0.3">
      <c r="A169" s="14">
        <v>7029</v>
      </c>
      <c r="B169" s="8" t="s">
        <v>96</v>
      </c>
      <c r="C169" s="15">
        <v>20268295</v>
      </c>
      <c r="D169" s="16">
        <v>8698902682954</v>
      </c>
      <c r="E169" s="14" t="s">
        <v>522</v>
      </c>
      <c r="F169" s="17" t="s">
        <v>523</v>
      </c>
      <c r="G169" s="18">
        <v>8</v>
      </c>
      <c r="H169" s="19">
        <v>8</v>
      </c>
      <c r="I169" s="18">
        <v>0</v>
      </c>
      <c r="J169" s="8" t="s">
        <v>100</v>
      </c>
      <c r="K169" s="14">
        <v>59399</v>
      </c>
      <c r="L169" s="14" t="s">
        <v>400</v>
      </c>
      <c r="M169" s="20" t="s">
        <v>237</v>
      </c>
      <c r="N169" s="14" t="s">
        <v>130</v>
      </c>
      <c r="O169" s="12">
        <f t="shared" si="6"/>
        <v>10</v>
      </c>
      <c r="P169" t="str">
        <f t="shared" si="8"/>
        <v>20268295</v>
      </c>
      <c r="Q169">
        <f t="shared" si="7"/>
        <v>0</v>
      </c>
      <c r="R169" s="21"/>
    </row>
    <row r="170" spans="1:18" x14ac:dyDescent="0.3">
      <c r="A170" s="14">
        <v>6940</v>
      </c>
      <c r="B170" s="8" t="s">
        <v>96</v>
      </c>
      <c r="C170" s="15">
        <v>20268297</v>
      </c>
      <c r="D170" s="16">
        <v>8698902682978</v>
      </c>
      <c r="E170" s="14" t="s">
        <v>524</v>
      </c>
      <c r="F170" s="17" t="s">
        <v>525</v>
      </c>
      <c r="G170" s="18">
        <v>17</v>
      </c>
      <c r="H170" s="19">
        <v>17</v>
      </c>
      <c r="I170" s="18">
        <v>0</v>
      </c>
      <c r="J170" s="8" t="s">
        <v>100</v>
      </c>
      <c r="K170" s="14">
        <v>62949</v>
      </c>
      <c r="L170" s="14" t="s">
        <v>400</v>
      </c>
      <c r="M170" s="20" t="s">
        <v>237</v>
      </c>
      <c r="N170" s="14" t="s">
        <v>130</v>
      </c>
      <c r="O170" s="12">
        <f t="shared" si="6"/>
        <v>10</v>
      </c>
      <c r="P170" t="str">
        <f t="shared" si="8"/>
        <v>20268297</v>
      </c>
      <c r="Q170">
        <f t="shared" si="7"/>
        <v>0</v>
      </c>
      <c r="R170" s="21"/>
    </row>
    <row r="171" spans="1:18" x14ac:dyDescent="0.3">
      <c r="A171" s="14">
        <v>6982</v>
      </c>
      <c r="B171" s="8" t="s">
        <v>96</v>
      </c>
      <c r="C171" s="15">
        <v>20268298</v>
      </c>
      <c r="D171" s="16">
        <v>8698902682985</v>
      </c>
      <c r="E171" s="14" t="s">
        <v>526</v>
      </c>
      <c r="F171" s="17" t="s">
        <v>527</v>
      </c>
      <c r="G171" s="18">
        <v>9</v>
      </c>
      <c r="H171" s="19">
        <v>8</v>
      </c>
      <c r="I171" s="18">
        <v>0</v>
      </c>
      <c r="J171" s="8" t="s">
        <v>100</v>
      </c>
      <c r="K171" s="14">
        <v>63549</v>
      </c>
      <c r="L171" s="14" t="s">
        <v>400</v>
      </c>
      <c r="M171" s="20" t="s">
        <v>237</v>
      </c>
      <c r="N171" s="14" t="s">
        <v>130</v>
      </c>
      <c r="O171" s="12">
        <f t="shared" si="6"/>
        <v>10</v>
      </c>
      <c r="P171" t="str">
        <f t="shared" si="8"/>
        <v>20268298</v>
      </c>
      <c r="Q171">
        <f t="shared" si="7"/>
        <v>1</v>
      </c>
      <c r="R171" s="21"/>
    </row>
    <row r="172" spans="1:18" x14ac:dyDescent="0.3">
      <c r="A172" s="14">
        <v>6476</v>
      </c>
      <c r="B172" s="8" t="s">
        <v>96</v>
      </c>
      <c r="C172" s="15">
        <v>20263718</v>
      </c>
      <c r="D172" s="16">
        <v>8698902637183</v>
      </c>
      <c r="E172" s="14" t="s">
        <v>528</v>
      </c>
      <c r="F172" s="17" t="s">
        <v>529</v>
      </c>
      <c r="G172" s="18">
        <v>4</v>
      </c>
      <c r="H172" s="19">
        <v>4</v>
      </c>
      <c r="I172" s="18">
        <v>0</v>
      </c>
      <c r="J172" s="8" t="s">
        <v>100</v>
      </c>
      <c r="K172" s="14">
        <v>12949</v>
      </c>
      <c r="L172" s="14" t="s">
        <v>530</v>
      </c>
      <c r="M172" s="20" t="s">
        <v>237</v>
      </c>
      <c r="N172" s="14" t="s">
        <v>130</v>
      </c>
      <c r="O172" s="12">
        <f t="shared" si="6"/>
        <v>10</v>
      </c>
      <c r="P172" t="str">
        <f t="shared" si="8"/>
        <v>20263718</v>
      </c>
      <c r="Q172">
        <f t="shared" si="7"/>
        <v>0</v>
      </c>
      <c r="R172" s="21"/>
    </row>
    <row r="173" spans="1:18" x14ac:dyDescent="0.3">
      <c r="A173" s="14">
        <v>7329</v>
      </c>
      <c r="B173" s="8" t="s">
        <v>96</v>
      </c>
      <c r="C173" s="15">
        <v>20267982</v>
      </c>
      <c r="D173" s="16">
        <v>8698902679824</v>
      </c>
      <c r="E173" s="14" t="s">
        <v>531</v>
      </c>
      <c r="F173" s="17" t="s">
        <v>532</v>
      </c>
      <c r="G173" s="18">
        <v>1</v>
      </c>
      <c r="H173" s="19">
        <v>0</v>
      </c>
      <c r="I173" s="18">
        <v>0</v>
      </c>
      <c r="J173" s="8" t="s">
        <v>100</v>
      </c>
      <c r="K173" s="14">
        <v>9999</v>
      </c>
      <c r="L173" s="14" t="s">
        <v>530</v>
      </c>
      <c r="M173" s="20" t="s">
        <v>237</v>
      </c>
      <c r="N173" s="14" t="s">
        <v>130</v>
      </c>
      <c r="O173" s="12">
        <f t="shared" si="6"/>
        <v>10</v>
      </c>
      <c r="P173" t="str">
        <f t="shared" si="8"/>
        <v>20267982</v>
      </c>
      <c r="Q173">
        <f t="shared" si="7"/>
        <v>1</v>
      </c>
      <c r="R173" s="21"/>
    </row>
    <row r="174" spans="1:18" x14ac:dyDescent="0.3">
      <c r="A174" s="14">
        <v>5749</v>
      </c>
      <c r="B174" s="8" t="s">
        <v>96</v>
      </c>
      <c r="C174" s="15">
        <v>20264186</v>
      </c>
      <c r="D174" s="16">
        <v>8698902641869</v>
      </c>
      <c r="E174" s="14" t="s">
        <v>533</v>
      </c>
      <c r="F174" s="17" t="s">
        <v>534</v>
      </c>
      <c r="G174" s="18">
        <v>1</v>
      </c>
      <c r="H174" s="19">
        <v>1</v>
      </c>
      <c r="I174" s="18">
        <v>0</v>
      </c>
      <c r="J174" s="8" t="s">
        <v>100</v>
      </c>
      <c r="K174" s="14">
        <v>16399</v>
      </c>
      <c r="L174" s="14" t="s">
        <v>485</v>
      </c>
      <c r="M174" s="20" t="s">
        <v>237</v>
      </c>
      <c r="N174" s="14" t="s">
        <v>130</v>
      </c>
      <c r="O174" s="12">
        <f t="shared" si="6"/>
        <v>10</v>
      </c>
      <c r="P174" t="str">
        <f t="shared" si="8"/>
        <v>20264186</v>
      </c>
      <c r="Q174">
        <f t="shared" si="7"/>
        <v>0</v>
      </c>
      <c r="R174" s="21"/>
    </row>
    <row r="175" spans="1:18" x14ac:dyDescent="0.3">
      <c r="A175" s="14">
        <v>5738</v>
      </c>
      <c r="B175" s="8" t="s">
        <v>96</v>
      </c>
      <c r="C175" s="15">
        <v>20264183</v>
      </c>
      <c r="D175" s="16">
        <v>8698902641838</v>
      </c>
      <c r="E175" s="14" t="s">
        <v>535</v>
      </c>
      <c r="F175" s="17" t="s">
        <v>536</v>
      </c>
      <c r="G175" s="18">
        <v>3</v>
      </c>
      <c r="H175" s="19">
        <v>2</v>
      </c>
      <c r="I175" s="18">
        <v>0</v>
      </c>
      <c r="J175" s="8" t="s">
        <v>100</v>
      </c>
      <c r="K175" s="14">
        <v>26149</v>
      </c>
      <c r="L175" s="14" t="s">
        <v>485</v>
      </c>
      <c r="M175" s="20" t="s">
        <v>237</v>
      </c>
      <c r="N175" s="14" t="s">
        <v>130</v>
      </c>
      <c r="O175" s="12">
        <f t="shared" si="6"/>
        <v>10</v>
      </c>
      <c r="P175" t="str">
        <f t="shared" si="8"/>
        <v>20264183</v>
      </c>
      <c r="Q175">
        <f t="shared" si="7"/>
        <v>1</v>
      </c>
      <c r="R175" s="21"/>
    </row>
    <row r="176" spans="1:18" x14ac:dyDescent="0.3">
      <c r="A176" s="14">
        <v>6528</v>
      </c>
      <c r="B176" s="8" t="s">
        <v>96</v>
      </c>
      <c r="C176" s="15">
        <v>20265702</v>
      </c>
      <c r="D176" s="16">
        <v>8698902657020</v>
      </c>
      <c r="E176" s="14" t="s">
        <v>537</v>
      </c>
      <c r="F176" s="17" t="s">
        <v>538</v>
      </c>
      <c r="G176" s="18">
        <v>6</v>
      </c>
      <c r="H176" s="19">
        <v>4</v>
      </c>
      <c r="I176" s="18">
        <v>0</v>
      </c>
      <c r="J176" s="8" t="s">
        <v>100</v>
      </c>
      <c r="K176" s="14">
        <v>20149</v>
      </c>
      <c r="L176" s="14" t="s">
        <v>485</v>
      </c>
      <c r="M176" s="20" t="s">
        <v>237</v>
      </c>
      <c r="N176" s="14" t="s">
        <v>130</v>
      </c>
      <c r="O176" s="12">
        <f t="shared" si="6"/>
        <v>10</v>
      </c>
      <c r="P176" t="str">
        <f t="shared" si="8"/>
        <v>20265702</v>
      </c>
      <c r="Q176">
        <f t="shared" si="7"/>
        <v>2</v>
      </c>
      <c r="R176" s="21"/>
    </row>
    <row r="177" spans="1:18" x14ac:dyDescent="0.3">
      <c r="A177" s="14">
        <v>6994</v>
      </c>
      <c r="B177" s="8" t="s">
        <v>96</v>
      </c>
      <c r="C177" s="15">
        <v>20268713</v>
      </c>
      <c r="D177" s="16">
        <v>8698902687133</v>
      </c>
      <c r="E177" s="14" t="s">
        <v>539</v>
      </c>
      <c r="F177" s="17" t="s">
        <v>540</v>
      </c>
      <c r="G177" s="18">
        <v>5</v>
      </c>
      <c r="H177" s="19">
        <v>5</v>
      </c>
      <c r="I177" s="18">
        <v>0</v>
      </c>
      <c r="J177" s="8" t="s">
        <v>100</v>
      </c>
      <c r="K177" s="14">
        <v>21549</v>
      </c>
      <c r="L177" s="14" t="s">
        <v>485</v>
      </c>
      <c r="M177" s="20" t="s">
        <v>237</v>
      </c>
      <c r="N177" s="14" t="s">
        <v>130</v>
      </c>
      <c r="O177" s="12">
        <f t="shared" si="6"/>
        <v>10</v>
      </c>
      <c r="P177" t="str">
        <f t="shared" si="8"/>
        <v>20268713</v>
      </c>
      <c r="Q177">
        <f t="shared" si="7"/>
        <v>0</v>
      </c>
      <c r="R177" s="21"/>
    </row>
    <row r="178" spans="1:18" x14ac:dyDescent="0.3">
      <c r="A178" s="14">
        <v>6915</v>
      </c>
      <c r="B178" s="8" t="s">
        <v>96</v>
      </c>
      <c r="C178" s="15">
        <v>20268451</v>
      </c>
      <c r="D178" s="16">
        <v>8698902684514</v>
      </c>
      <c r="E178" s="14" t="s">
        <v>541</v>
      </c>
      <c r="F178" s="17" t="s">
        <v>542</v>
      </c>
      <c r="G178" s="18">
        <v>1</v>
      </c>
      <c r="H178" s="19">
        <v>1</v>
      </c>
      <c r="I178" s="18">
        <v>0</v>
      </c>
      <c r="J178" s="8" t="s">
        <v>100</v>
      </c>
      <c r="K178" s="14">
        <v>27299</v>
      </c>
      <c r="L178" s="14" t="s">
        <v>485</v>
      </c>
      <c r="M178" s="20" t="s">
        <v>237</v>
      </c>
      <c r="N178" s="14" t="s">
        <v>130</v>
      </c>
      <c r="O178" s="12">
        <f t="shared" si="6"/>
        <v>10</v>
      </c>
      <c r="P178" t="str">
        <f t="shared" si="8"/>
        <v>20268451</v>
      </c>
      <c r="Q178">
        <f t="shared" si="7"/>
        <v>0</v>
      </c>
      <c r="R178" s="21"/>
    </row>
    <row r="179" spans="1:18" x14ac:dyDescent="0.3">
      <c r="A179" s="14">
        <v>6770</v>
      </c>
      <c r="B179" s="8" t="s">
        <v>96</v>
      </c>
      <c r="C179" s="15">
        <v>20265693</v>
      </c>
      <c r="D179" s="16">
        <v>8698902656931</v>
      </c>
      <c r="E179" s="14" t="s">
        <v>543</v>
      </c>
      <c r="F179" s="17" t="s">
        <v>544</v>
      </c>
      <c r="G179" s="18">
        <v>16</v>
      </c>
      <c r="H179" s="19">
        <v>15</v>
      </c>
      <c r="I179" s="18">
        <v>0</v>
      </c>
      <c r="J179" s="8" t="s">
        <v>100</v>
      </c>
      <c r="K179" s="14">
        <v>28449</v>
      </c>
      <c r="L179" s="14" t="s">
        <v>485</v>
      </c>
      <c r="M179" s="20" t="s">
        <v>237</v>
      </c>
      <c r="N179" s="14" t="s">
        <v>130</v>
      </c>
      <c r="O179" s="12">
        <f t="shared" si="6"/>
        <v>10</v>
      </c>
      <c r="P179" t="str">
        <f t="shared" si="8"/>
        <v>20265693</v>
      </c>
      <c r="Q179">
        <f t="shared" si="7"/>
        <v>1</v>
      </c>
      <c r="R179" s="21"/>
    </row>
    <row r="180" spans="1:18" x14ac:dyDescent="0.3">
      <c r="A180" s="14">
        <v>6916</v>
      </c>
      <c r="B180" s="8" t="s">
        <v>96</v>
      </c>
      <c r="C180" s="15">
        <v>20267218</v>
      </c>
      <c r="D180" s="16">
        <v>8698902672184</v>
      </c>
      <c r="E180" s="14" t="s">
        <v>545</v>
      </c>
      <c r="F180" s="17" t="s">
        <v>546</v>
      </c>
      <c r="G180" s="18">
        <v>6</v>
      </c>
      <c r="H180" s="19">
        <v>5</v>
      </c>
      <c r="I180" s="18">
        <v>0</v>
      </c>
      <c r="J180" s="8" t="s">
        <v>100</v>
      </c>
      <c r="K180" s="14">
        <v>32499</v>
      </c>
      <c r="L180" s="14" t="s">
        <v>485</v>
      </c>
      <c r="M180" s="20" t="s">
        <v>237</v>
      </c>
      <c r="N180" s="14" t="s">
        <v>130</v>
      </c>
      <c r="O180" s="12">
        <f t="shared" si="6"/>
        <v>10</v>
      </c>
      <c r="P180" t="str">
        <f t="shared" si="8"/>
        <v>20267218</v>
      </c>
      <c r="Q180">
        <f t="shared" si="7"/>
        <v>1</v>
      </c>
      <c r="R180" s="21"/>
    </row>
    <row r="181" spans="1:18" x14ac:dyDescent="0.3">
      <c r="A181" s="14">
        <v>7086</v>
      </c>
      <c r="B181" s="8" t="s">
        <v>96</v>
      </c>
      <c r="C181" s="15">
        <v>20268450</v>
      </c>
      <c r="D181" s="16">
        <v>8698902684507</v>
      </c>
      <c r="E181" s="14" t="s">
        <v>547</v>
      </c>
      <c r="F181" s="17" t="s">
        <v>548</v>
      </c>
      <c r="G181" s="18">
        <v>5</v>
      </c>
      <c r="H181" s="19">
        <v>4</v>
      </c>
      <c r="I181" s="18">
        <v>0</v>
      </c>
      <c r="J181" s="8" t="s">
        <v>100</v>
      </c>
      <c r="K181" s="14">
        <v>35349</v>
      </c>
      <c r="L181" s="14" t="s">
        <v>485</v>
      </c>
      <c r="M181" s="20" t="s">
        <v>237</v>
      </c>
      <c r="N181" s="14" t="s">
        <v>130</v>
      </c>
      <c r="O181" s="12">
        <f t="shared" si="6"/>
        <v>10</v>
      </c>
      <c r="P181" t="str">
        <f t="shared" si="8"/>
        <v>20268450</v>
      </c>
      <c r="Q181">
        <f t="shared" si="7"/>
        <v>1</v>
      </c>
      <c r="R181" s="21"/>
    </row>
    <row r="182" spans="1:18" x14ac:dyDescent="0.3">
      <c r="A182" s="14">
        <v>7364</v>
      </c>
      <c r="B182" s="8" t="s">
        <v>96</v>
      </c>
      <c r="C182" s="15">
        <v>20269591</v>
      </c>
      <c r="D182" s="16">
        <v>8698902695916</v>
      </c>
      <c r="E182" s="14" t="s">
        <v>549</v>
      </c>
      <c r="F182" s="17" t="s">
        <v>550</v>
      </c>
      <c r="G182" s="18">
        <v>4</v>
      </c>
      <c r="H182" s="19">
        <v>2</v>
      </c>
      <c r="I182" s="18">
        <v>0</v>
      </c>
      <c r="J182" s="8" t="s">
        <v>100</v>
      </c>
      <c r="K182" s="14">
        <v>42249</v>
      </c>
      <c r="L182" s="14" t="s">
        <v>485</v>
      </c>
      <c r="M182" s="20" t="s">
        <v>237</v>
      </c>
      <c r="N182" s="14" t="s">
        <v>130</v>
      </c>
      <c r="O182" s="12">
        <f t="shared" si="6"/>
        <v>10</v>
      </c>
      <c r="P182" t="str">
        <f t="shared" si="8"/>
        <v>20269591</v>
      </c>
      <c r="Q182">
        <f t="shared" si="7"/>
        <v>2</v>
      </c>
      <c r="R182" s="21"/>
    </row>
    <row r="183" spans="1:18" x14ac:dyDescent="0.3">
      <c r="A183" s="14">
        <v>7398</v>
      </c>
      <c r="B183" s="8" t="s">
        <v>96</v>
      </c>
      <c r="C183" s="15">
        <v>20268444</v>
      </c>
      <c r="D183" s="16">
        <v>8698902684446</v>
      </c>
      <c r="E183" s="14" t="s">
        <v>551</v>
      </c>
      <c r="F183" s="17" t="s">
        <v>552</v>
      </c>
      <c r="G183" s="18">
        <v>1</v>
      </c>
      <c r="H183" s="19">
        <v>1</v>
      </c>
      <c r="I183" s="18">
        <v>0</v>
      </c>
      <c r="J183" s="8" t="s">
        <v>100</v>
      </c>
      <c r="K183" s="14">
        <v>30199</v>
      </c>
      <c r="L183" s="14" t="s">
        <v>485</v>
      </c>
      <c r="M183" s="20" t="s">
        <v>237</v>
      </c>
      <c r="N183" s="14" t="s">
        <v>130</v>
      </c>
      <c r="O183" s="12">
        <f t="shared" si="6"/>
        <v>10</v>
      </c>
      <c r="P183" t="str">
        <f t="shared" si="8"/>
        <v>20268444</v>
      </c>
      <c r="Q183">
        <f t="shared" si="7"/>
        <v>0</v>
      </c>
      <c r="R183" s="21"/>
    </row>
    <row r="184" spans="1:18" x14ac:dyDescent="0.3">
      <c r="A184" s="14">
        <v>7133</v>
      </c>
      <c r="B184" s="8" t="s">
        <v>96</v>
      </c>
      <c r="C184" s="15">
        <v>20268305</v>
      </c>
      <c r="D184" s="16">
        <v>8698902683050</v>
      </c>
      <c r="E184" s="14" t="s">
        <v>553</v>
      </c>
      <c r="F184" s="17" t="s">
        <v>554</v>
      </c>
      <c r="G184" s="18">
        <v>1</v>
      </c>
      <c r="H184" s="19">
        <v>1</v>
      </c>
      <c r="I184" s="18">
        <v>0</v>
      </c>
      <c r="J184" s="8" t="s">
        <v>100</v>
      </c>
      <c r="K184" s="14">
        <v>31899</v>
      </c>
      <c r="L184" s="14" t="s">
        <v>400</v>
      </c>
      <c r="M184" s="20" t="s">
        <v>237</v>
      </c>
      <c r="N184" s="14" t="s">
        <v>130</v>
      </c>
      <c r="O184" s="12">
        <f t="shared" si="6"/>
        <v>10</v>
      </c>
      <c r="P184" t="str">
        <f t="shared" si="8"/>
        <v>20268305</v>
      </c>
      <c r="Q184">
        <f t="shared" si="7"/>
        <v>0</v>
      </c>
      <c r="R184" s="21"/>
    </row>
    <row r="185" spans="1:18" x14ac:dyDescent="0.3">
      <c r="A185" s="14">
        <v>7110</v>
      </c>
      <c r="B185" s="8" t="s">
        <v>96</v>
      </c>
      <c r="C185" s="15">
        <v>20268344</v>
      </c>
      <c r="D185" s="16">
        <v>8698902683449</v>
      </c>
      <c r="E185" s="14" t="s">
        <v>555</v>
      </c>
      <c r="F185" s="17" t="s">
        <v>556</v>
      </c>
      <c r="G185" s="18">
        <v>1</v>
      </c>
      <c r="H185" s="19">
        <v>0</v>
      </c>
      <c r="I185" s="18">
        <v>0</v>
      </c>
      <c r="J185" s="8" t="s">
        <v>100</v>
      </c>
      <c r="K185" s="14">
        <v>37099</v>
      </c>
      <c r="L185" s="14" t="s">
        <v>400</v>
      </c>
      <c r="M185" s="20" t="s">
        <v>237</v>
      </c>
      <c r="N185" s="14" t="s">
        <v>130</v>
      </c>
      <c r="O185" s="12">
        <f t="shared" si="6"/>
        <v>10</v>
      </c>
      <c r="P185" t="str">
        <f t="shared" si="8"/>
        <v>20268344</v>
      </c>
      <c r="Q185">
        <f t="shared" si="7"/>
        <v>1</v>
      </c>
      <c r="R185" s="21"/>
    </row>
    <row r="186" spans="1:18" x14ac:dyDescent="0.3">
      <c r="A186" s="14">
        <v>6076</v>
      </c>
      <c r="B186" s="8" t="s">
        <v>96</v>
      </c>
      <c r="C186" s="15">
        <v>20264845</v>
      </c>
      <c r="D186" s="16">
        <v>8698902648455</v>
      </c>
      <c r="E186" s="14" t="s">
        <v>557</v>
      </c>
      <c r="F186" s="17" t="s">
        <v>558</v>
      </c>
      <c r="G186" s="18">
        <v>1</v>
      </c>
      <c r="H186" s="19">
        <v>0</v>
      </c>
      <c r="I186" s="18">
        <v>0</v>
      </c>
      <c r="J186" s="8" t="s">
        <v>100</v>
      </c>
      <c r="K186" s="14">
        <v>55899</v>
      </c>
      <c r="L186" s="14" t="s">
        <v>400</v>
      </c>
      <c r="M186" s="20" t="s">
        <v>237</v>
      </c>
      <c r="N186" s="14" t="s">
        <v>130</v>
      </c>
      <c r="O186" s="12">
        <f t="shared" si="6"/>
        <v>10</v>
      </c>
      <c r="P186" t="str">
        <f t="shared" si="8"/>
        <v>20264845</v>
      </c>
      <c r="Q186">
        <f t="shared" si="7"/>
        <v>1</v>
      </c>
      <c r="R186" s="21"/>
    </row>
    <row r="187" spans="1:18" x14ac:dyDescent="0.3">
      <c r="A187" s="14">
        <v>6071</v>
      </c>
      <c r="B187" s="8" t="s">
        <v>96</v>
      </c>
      <c r="C187" s="15">
        <v>20264848</v>
      </c>
      <c r="D187" s="16">
        <v>8698902648486</v>
      </c>
      <c r="E187" s="14" t="s">
        <v>559</v>
      </c>
      <c r="F187" s="17" t="s">
        <v>560</v>
      </c>
      <c r="G187" s="18">
        <v>3</v>
      </c>
      <c r="H187" s="19">
        <v>2</v>
      </c>
      <c r="I187" s="18">
        <v>0</v>
      </c>
      <c r="J187" s="8" t="s">
        <v>100</v>
      </c>
      <c r="K187" s="14">
        <v>63099</v>
      </c>
      <c r="L187" s="14" t="s">
        <v>400</v>
      </c>
      <c r="M187" s="20" t="s">
        <v>237</v>
      </c>
      <c r="N187" s="14" t="s">
        <v>130</v>
      </c>
      <c r="O187" s="12">
        <f t="shared" si="6"/>
        <v>10</v>
      </c>
      <c r="P187" t="str">
        <f t="shared" si="8"/>
        <v>20264848</v>
      </c>
      <c r="Q187">
        <f t="shared" si="7"/>
        <v>1</v>
      </c>
      <c r="R187" s="21"/>
    </row>
    <row r="188" spans="1:18" x14ac:dyDescent="0.3">
      <c r="A188" s="14">
        <v>4890</v>
      </c>
      <c r="B188" s="8" t="s">
        <v>96</v>
      </c>
      <c r="C188" s="15">
        <v>20219875</v>
      </c>
      <c r="D188" s="16">
        <v>8698902198752</v>
      </c>
      <c r="E188" s="14" t="s">
        <v>561</v>
      </c>
      <c r="F188" s="17" t="s">
        <v>562</v>
      </c>
      <c r="G188" s="18">
        <v>1</v>
      </c>
      <c r="H188" s="19">
        <v>0</v>
      </c>
      <c r="I188" s="18">
        <v>0</v>
      </c>
      <c r="J188" s="8" t="s">
        <v>100</v>
      </c>
      <c r="K188" s="14">
        <v>73899</v>
      </c>
      <c r="L188" s="14" t="s">
        <v>400</v>
      </c>
      <c r="M188" s="20" t="s">
        <v>237</v>
      </c>
      <c r="N188" s="14" t="s">
        <v>130</v>
      </c>
      <c r="O188" s="12">
        <f t="shared" si="6"/>
        <v>10</v>
      </c>
      <c r="P188" t="str">
        <f t="shared" si="8"/>
        <v>20219875</v>
      </c>
      <c r="Q188">
        <f t="shared" si="7"/>
        <v>1</v>
      </c>
      <c r="R188" s="21"/>
    </row>
    <row r="189" spans="1:18" x14ac:dyDescent="0.3">
      <c r="A189" s="14">
        <v>5603</v>
      </c>
      <c r="B189" s="8" t="s">
        <v>96</v>
      </c>
      <c r="C189" s="15">
        <v>20216843</v>
      </c>
      <c r="D189" s="16">
        <v>8698902168434</v>
      </c>
      <c r="E189" s="14" t="s">
        <v>563</v>
      </c>
      <c r="F189" s="17" t="s">
        <v>564</v>
      </c>
      <c r="G189" s="18">
        <v>1</v>
      </c>
      <c r="H189" s="19">
        <v>1</v>
      </c>
      <c r="I189" s="18">
        <v>0</v>
      </c>
      <c r="J189" s="8" t="s">
        <v>100</v>
      </c>
      <c r="K189" s="14">
        <v>47499</v>
      </c>
      <c r="L189" s="14" t="s">
        <v>400</v>
      </c>
      <c r="M189" s="20" t="s">
        <v>237</v>
      </c>
      <c r="N189" s="14" t="s">
        <v>130</v>
      </c>
      <c r="O189" s="12">
        <f t="shared" si="6"/>
        <v>10</v>
      </c>
      <c r="P189" t="str">
        <f t="shared" si="8"/>
        <v>20216843</v>
      </c>
      <c r="Q189">
        <f t="shared" si="7"/>
        <v>0</v>
      </c>
      <c r="R189" s="21"/>
    </row>
    <row r="190" spans="1:18" x14ac:dyDescent="0.3">
      <c r="A190" s="14">
        <v>7144</v>
      </c>
      <c r="B190" s="8" t="s">
        <v>96</v>
      </c>
      <c r="C190" s="15">
        <v>20268321</v>
      </c>
      <c r="D190" s="16">
        <v>8698902683210</v>
      </c>
      <c r="E190" s="14" t="s">
        <v>565</v>
      </c>
      <c r="F190" s="17" t="s">
        <v>566</v>
      </c>
      <c r="G190" s="18">
        <v>1</v>
      </c>
      <c r="H190" s="19">
        <v>1</v>
      </c>
      <c r="I190" s="18">
        <v>0</v>
      </c>
      <c r="J190" s="8" t="s">
        <v>100</v>
      </c>
      <c r="K190" s="14">
        <v>18399</v>
      </c>
      <c r="L190" s="14" t="s">
        <v>530</v>
      </c>
      <c r="M190" s="20" t="s">
        <v>237</v>
      </c>
      <c r="N190" s="14" t="s">
        <v>130</v>
      </c>
      <c r="O190" s="12">
        <f t="shared" si="6"/>
        <v>10</v>
      </c>
      <c r="P190" t="str">
        <f t="shared" si="8"/>
        <v>20268321</v>
      </c>
      <c r="Q190">
        <f t="shared" si="7"/>
        <v>0</v>
      </c>
      <c r="R190" s="21"/>
    </row>
    <row r="191" spans="1:18" x14ac:dyDescent="0.3">
      <c r="A191" s="14">
        <v>4043</v>
      </c>
      <c r="B191" s="8" t="s">
        <v>96</v>
      </c>
      <c r="C191" s="15">
        <v>20219352</v>
      </c>
      <c r="D191" s="16">
        <v>8698902193528</v>
      </c>
      <c r="E191" s="14" t="s">
        <v>567</v>
      </c>
      <c r="F191" s="17" t="s">
        <v>568</v>
      </c>
      <c r="G191" s="18">
        <v>3</v>
      </c>
      <c r="H191" s="19">
        <v>0</v>
      </c>
      <c r="I191" s="18">
        <v>1</v>
      </c>
      <c r="J191" s="8" t="s">
        <v>100</v>
      </c>
      <c r="K191" s="14">
        <v>9199</v>
      </c>
      <c r="L191" s="14" t="s">
        <v>569</v>
      </c>
      <c r="M191" s="20" t="s">
        <v>237</v>
      </c>
      <c r="N191" s="14" t="s">
        <v>130</v>
      </c>
      <c r="O191" s="12">
        <f t="shared" si="6"/>
        <v>10</v>
      </c>
      <c r="P191" t="str">
        <f t="shared" si="8"/>
        <v>20219352</v>
      </c>
      <c r="Q191">
        <f t="shared" si="7"/>
        <v>3</v>
      </c>
      <c r="R191" s="21"/>
    </row>
    <row r="192" spans="1:18" x14ac:dyDescent="0.3">
      <c r="A192" s="14">
        <v>6909</v>
      </c>
      <c r="B192" s="8" t="s">
        <v>96</v>
      </c>
      <c r="C192" s="15">
        <v>20265616</v>
      </c>
      <c r="D192" s="16">
        <v>8698902656160</v>
      </c>
      <c r="E192" s="14" t="s">
        <v>570</v>
      </c>
      <c r="F192" s="17" t="s">
        <v>571</v>
      </c>
      <c r="G192" s="18">
        <v>1</v>
      </c>
      <c r="H192" s="19">
        <v>1</v>
      </c>
      <c r="I192" s="18">
        <v>0</v>
      </c>
      <c r="J192" s="8" t="s">
        <v>100</v>
      </c>
      <c r="K192" s="14">
        <v>7199</v>
      </c>
      <c r="L192" s="14" t="s">
        <v>569</v>
      </c>
      <c r="M192" s="20" t="s">
        <v>237</v>
      </c>
      <c r="N192" s="14" t="s">
        <v>130</v>
      </c>
      <c r="O192" s="12">
        <f t="shared" si="6"/>
        <v>10</v>
      </c>
      <c r="P192" t="str">
        <f t="shared" si="8"/>
        <v>20265616</v>
      </c>
      <c r="Q192">
        <f t="shared" si="7"/>
        <v>0</v>
      </c>
      <c r="R192" s="21"/>
    </row>
    <row r="193" spans="1:18" x14ac:dyDescent="0.3">
      <c r="A193" s="14">
        <v>6934</v>
      </c>
      <c r="B193" s="8" t="s">
        <v>96</v>
      </c>
      <c r="C193" s="15">
        <v>20265618</v>
      </c>
      <c r="D193" s="16">
        <v>8698902656184</v>
      </c>
      <c r="E193" s="14" t="s">
        <v>572</v>
      </c>
      <c r="F193" s="17" t="s">
        <v>573</v>
      </c>
      <c r="G193" s="18">
        <v>1</v>
      </c>
      <c r="H193" s="19">
        <v>1</v>
      </c>
      <c r="I193" s="18">
        <v>0</v>
      </c>
      <c r="J193" s="8" t="s">
        <v>100</v>
      </c>
      <c r="K193" s="14">
        <v>9199</v>
      </c>
      <c r="L193" s="14" t="s">
        <v>569</v>
      </c>
      <c r="M193" s="20" t="s">
        <v>237</v>
      </c>
      <c r="N193" s="14" t="s">
        <v>130</v>
      </c>
      <c r="O193" s="12">
        <f t="shared" si="6"/>
        <v>10</v>
      </c>
      <c r="P193" t="str">
        <f t="shared" si="8"/>
        <v>20265618</v>
      </c>
      <c r="Q193">
        <f t="shared" si="7"/>
        <v>0</v>
      </c>
      <c r="R193" s="21"/>
    </row>
    <row r="194" spans="1:18" x14ac:dyDescent="0.3">
      <c r="A194" s="14">
        <v>6937</v>
      </c>
      <c r="B194" s="8" t="s">
        <v>96</v>
      </c>
      <c r="C194" s="15">
        <v>20265621</v>
      </c>
      <c r="D194" s="16">
        <v>8698902656214</v>
      </c>
      <c r="E194" s="14" t="s">
        <v>574</v>
      </c>
      <c r="F194" s="17" t="s">
        <v>575</v>
      </c>
      <c r="G194" s="18">
        <v>3</v>
      </c>
      <c r="H194" s="19">
        <v>3</v>
      </c>
      <c r="I194" s="18">
        <v>0</v>
      </c>
      <c r="J194" s="8" t="s">
        <v>100</v>
      </c>
      <c r="K194" s="14">
        <v>9499</v>
      </c>
      <c r="L194" s="14" t="s">
        <v>569</v>
      </c>
      <c r="M194" s="20" t="s">
        <v>237</v>
      </c>
      <c r="N194" s="14" t="s">
        <v>130</v>
      </c>
      <c r="O194" s="12">
        <f t="shared" si="6"/>
        <v>10</v>
      </c>
      <c r="P194" t="str">
        <f t="shared" si="8"/>
        <v>20265621</v>
      </c>
      <c r="Q194">
        <f t="shared" si="7"/>
        <v>0</v>
      </c>
      <c r="R194" s="21"/>
    </row>
    <row r="195" spans="1:18" x14ac:dyDescent="0.3">
      <c r="A195" s="14">
        <v>7324</v>
      </c>
      <c r="B195" s="8" t="s">
        <v>96</v>
      </c>
      <c r="C195" s="15">
        <v>20265633</v>
      </c>
      <c r="D195" s="16">
        <v>8698902656337</v>
      </c>
      <c r="E195" s="14" t="s">
        <v>576</v>
      </c>
      <c r="F195" s="17" t="s">
        <v>577</v>
      </c>
      <c r="G195" s="18">
        <v>8</v>
      </c>
      <c r="H195" s="19">
        <v>6</v>
      </c>
      <c r="I195" s="18">
        <v>0</v>
      </c>
      <c r="J195" s="8" t="s">
        <v>100</v>
      </c>
      <c r="K195" s="14">
        <v>12499</v>
      </c>
      <c r="L195" s="14" t="s">
        <v>569</v>
      </c>
      <c r="M195" s="20" t="s">
        <v>237</v>
      </c>
      <c r="N195" s="14" t="s">
        <v>130</v>
      </c>
      <c r="O195" s="12">
        <f t="shared" ref="O195:O258" si="9">IF(C195&gt;0,10-COUNTIF(AM195:AW195,"-"),"")</f>
        <v>10</v>
      </c>
      <c r="P195" t="str">
        <f t="shared" si="8"/>
        <v>20265633</v>
      </c>
      <c r="Q195">
        <f t="shared" ref="Q195:Q258" si="10">G195-H195</f>
        <v>2</v>
      </c>
      <c r="R195" s="21"/>
    </row>
    <row r="196" spans="1:18" x14ac:dyDescent="0.3">
      <c r="A196" s="14">
        <v>1841</v>
      </c>
      <c r="B196" s="8" t="s">
        <v>96</v>
      </c>
      <c r="C196" s="15">
        <v>20290622</v>
      </c>
      <c r="D196" s="16">
        <v>8698902906227</v>
      </c>
      <c r="E196" s="14" t="s">
        <v>578</v>
      </c>
      <c r="F196" s="17" t="s">
        <v>579</v>
      </c>
      <c r="G196" s="18">
        <v>3</v>
      </c>
      <c r="H196" s="19">
        <v>3</v>
      </c>
      <c r="I196" s="18">
        <v>0</v>
      </c>
      <c r="J196" s="8" t="s">
        <v>100</v>
      </c>
      <c r="K196" s="14">
        <v>649</v>
      </c>
      <c r="L196" s="14" t="s">
        <v>580</v>
      </c>
      <c r="M196" s="20" t="s">
        <v>237</v>
      </c>
      <c r="N196" s="14" t="s">
        <v>234</v>
      </c>
      <c r="O196" s="12">
        <f t="shared" si="9"/>
        <v>10</v>
      </c>
      <c r="P196" t="str">
        <f t="shared" ref="P196:P259" si="11">IF(LEFT(C196,2)="SM",CONCATENATE(LEFT(C196,7),"✦",MID(C196,11,1)),LEFT(C196,9))</f>
        <v>20290622</v>
      </c>
      <c r="Q196">
        <f t="shared" si="10"/>
        <v>0</v>
      </c>
      <c r="R196" s="21"/>
    </row>
    <row r="197" spans="1:18" x14ac:dyDescent="0.3">
      <c r="A197" s="14">
        <v>6022</v>
      </c>
      <c r="B197" s="8" t="s">
        <v>96</v>
      </c>
      <c r="C197" s="15">
        <v>20291303</v>
      </c>
      <c r="E197" s="14" t="s">
        <v>581</v>
      </c>
      <c r="F197" s="17" t="s">
        <v>582</v>
      </c>
      <c r="G197" s="18">
        <v>2</v>
      </c>
      <c r="H197" s="19">
        <v>0</v>
      </c>
      <c r="I197" s="18">
        <v>0</v>
      </c>
      <c r="J197" s="8" t="s">
        <v>100</v>
      </c>
      <c r="K197" s="14">
        <v>1199</v>
      </c>
      <c r="L197" s="14" t="s">
        <v>580</v>
      </c>
      <c r="M197" s="20" t="s">
        <v>237</v>
      </c>
      <c r="N197" s="14" t="s">
        <v>234</v>
      </c>
      <c r="O197" s="12">
        <f t="shared" si="9"/>
        <v>10</v>
      </c>
      <c r="P197" t="str">
        <f t="shared" si="11"/>
        <v>20291303</v>
      </c>
      <c r="Q197">
        <f t="shared" si="10"/>
        <v>2</v>
      </c>
      <c r="R197" s="21"/>
    </row>
    <row r="198" spans="1:18" x14ac:dyDescent="0.3">
      <c r="A198" s="14">
        <v>4550</v>
      </c>
      <c r="B198" s="8" t="s">
        <v>96</v>
      </c>
      <c r="C198" s="15">
        <v>20291024</v>
      </c>
      <c r="E198" s="14" t="s">
        <v>583</v>
      </c>
      <c r="F198" s="17" t="s">
        <v>584</v>
      </c>
      <c r="G198" s="18">
        <v>14</v>
      </c>
      <c r="H198" s="19">
        <v>3</v>
      </c>
      <c r="I198" s="18">
        <v>0</v>
      </c>
      <c r="J198" s="8" t="s">
        <v>100</v>
      </c>
      <c r="K198" s="14">
        <v>649</v>
      </c>
      <c r="L198" s="14" t="s">
        <v>580</v>
      </c>
      <c r="M198" s="20" t="s">
        <v>237</v>
      </c>
      <c r="N198" s="14" t="s">
        <v>234</v>
      </c>
      <c r="O198" s="12">
        <f t="shared" si="9"/>
        <v>10</v>
      </c>
      <c r="P198" t="str">
        <f t="shared" si="11"/>
        <v>20291024</v>
      </c>
      <c r="Q198">
        <f t="shared" si="10"/>
        <v>11</v>
      </c>
      <c r="R198" s="21"/>
    </row>
    <row r="199" spans="1:18" x14ac:dyDescent="0.3">
      <c r="A199" s="14">
        <v>6910</v>
      </c>
      <c r="B199" s="8" t="s">
        <v>96</v>
      </c>
      <c r="C199" s="15">
        <v>20265617</v>
      </c>
      <c r="D199" s="16">
        <v>8698902656177</v>
      </c>
      <c r="E199" s="14" t="s">
        <v>585</v>
      </c>
      <c r="F199" s="17" t="s">
        <v>586</v>
      </c>
      <c r="G199" s="18">
        <v>1</v>
      </c>
      <c r="H199" s="19">
        <v>1</v>
      </c>
      <c r="I199" s="18">
        <v>0</v>
      </c>
      <c r="J199" s="8" t="s">
        <v>100</v>
      </c>
      <c r="K199" s="14">
        <v>649</v>
      </c>
      <c r="L199" s="14" t="s">
        <v>580</v>
      </c>
      <c r="M199" s="20" t="s">
        <v>237</v>
      </c>
      <c r="N199" s="14" t="s">
        <v>234</v>
      </c>
      <c r="O199" s="12">
        <f t="shared" si="9"/>
        <v>10</v>
      </c>
      <c r="P199" t="str">
        <f t="shared" si="11"/>
        <v>20265617</v>
      </c>
      <c r="Q199">
        <f t="shared" si="10"/>
        <v>0</v>
      </c>
      <c r="R199" s="21"/>
    </row>
    <row r="200" spans="1:18" x14ac:dyDescent="0.3">
      <c r="A200" s="14">
        <v>6935</v>
      </c>
      <c r="B200" s="8" t="s">
        <v>96</v>
      </c>
      <c r="C200" s="15">
        <v>20265619</v>
      </c>
      <c r="D200" s="16">
        <v>8698902656191</v>
      </c>
      <c r="E200" s="14" t="s">
        <v>587</v>
      </c>
      <c r="F200" s="17" t="s">
        <v>586</v>
      </c>
      <c r="G200" s="18">
        <v>2</v>
      </c>
      <c r="H200" s="19">
        <v>2</v>
      </c>
      <c r="I200" s="18">
        <v>0</v>
      </c>
      <c r="J200" s="8" t="s">
        <v>100</v>
      </c>
      <c r="K200" s="14">
        <v>649</v>
      </c>
      <c r="L200" s="14" t="s">
        <v>580</v>
      </c>
      <c r="M200" s="20" t="s">
        <v>237</v>
      </c>
      <c r="N200" s="14" t="s">
        <v>234</v>
      </c>
      <c r="O200" s="12">
        <f t="shared" si="9"/>
        <v>10</v>
      </c>
      <c r="P200" t="str">
        <f t="shared" si="11"/>
        <v>20265619</v>
      </c>
      <c r="Q200">
        <f t="shared" si="10"/>
        <v>0</v>
      </c>
      <c r="R200" s="21"/>
    </row>
    <row r="201" spans="1:18" x14ac:dyDescent="0.3">
      <c r="A201" s="14">
        <v>6938</v>
      </c>
      <c r="B201" s="8" t="s">
        <v>96</v>
      </c>
      <c r="C201" s="15">
        <v>20265632</v>
      </c>
      <c r="D201" s="16">
        <v>8698902656320</v>
      </c>
      <c r="E201" s="14" t="s">
        <v>588</v>
      </c>
      <c r="F201" s="17" t="s">
        <v>589</v>
      </c>
      <c r="G201" s="18">
        <v>2</v>
      </c>
      <c r="H201" s="19">
        <v>2</v>
      </c>
      <c r="I201" s="18">
        <v>0</v>
      </c>
      <c r="J201" s="8" t="s">
        <v>100</v>
      </c>
      <c r="K201" s="14">
        <v>649</v>
      </c>
      <c r="L201" s="14" t="s">
        <v>580</v>
      </c>
      <c r="M201" s="20" t="s">
        <v>237</v>
      </c>
      <c r="N201" s="14" t="s">
        <v>234</v>
      </c>
      <c r="O201" s="12">
        <f t="shared" si="9"/>
        <v>10</v>
      </c>
      <c r="P201" t="str">
        <f t="shared" si="11"/>
        <v>20265632</v>
      </c>
      <c r="Q201">
        <f t="shared" si="10"/>
        <v>0</v>
      </c>
      <c r="R201" s="21"/>
    </row>
    <row r="202" spans="1:18" x14ac:dyDescent="0.3">
      <c r="A202" s="14">
        <v>6264</v>
      </c>
      <c r="B202" s="8" t="s">
        <v>96</v>
      </c>
      <c r="C202" s="15" t="s">
        <v>590</v>
      </c>
      <c r="D202" s="16">
        <v>8806092759350</v>
      </c>
      <c r="E202" s="14" t="s">
        <v>591</v>
      </c>
      <c r="F202" s="17" t="s">
        <v>592</v>
      </c>
      <c r="G202" s="18">
        <v>6</v>
      </c>
      <c r="H202" s="19">
        <v>4</v>
      </c>
      <c r="I202" s="18">
        <v>0</v>
      </c>
      <c r="J202" s="8" t="s">
        <v>100</v>
      </c>
      <c r="K202" s="14">
        <v>44999</v>
      </c>
      <c r="L202" s="14" t="s">
        <v>593</v>
      </c>
      <c r="M202" s="20" t="s">
        <v>114</v>
      </c>
      <c r="N202" s="14" t="s">
        <v>130</v>
      </c>
      <c r="O202" s="12">
        <f t="shared" si="9"/>
        <v>10</v>
      </c>
      <c r="P202" t="str">
        <f t="shared" si="11"/>
        <v>DW60A8050</v>
      </c>
      <c r="Q202">
        <f t="shared" si="10"/>
        <v>2</v>
      </c>
      <c r="R202" s="21"/>
    </row>
    <row r="203" spans="1:18" x14ac:dyDescent="0.3">
      <c r="A203" s="14">
        <v>6986</v>
      </c>
      <c r="B203" s="8" t="s">
        <v>96</v>
      </c>
      <c r="C203" s="15" t="s">
        <v>594</v>
      </c>
      <c r="D203" s="16">
        <v>8806095533681</v>
      </c>
      <c r="E203" s="14" t="s">
        <v>595</v>
      </c>
      <c r="F203" s="17" t="s">
        <v>596</v>
      </c>
      <c r="G203" s="18">
        <v>9</v>
      </c>
      <c r="H203" s="19">
        <v>6</v>
      </c>
      <c r="I203" s="18">
        <v>0</v>
      </c>
      <c r="J203" s="8" t="s">
        <v>100</v>
      </c>
      <c r="K203" s="14">
        <v>27199</v>
      </c>
      <c r="L203" s="14" t="s">
        <v>593</v>
      </c>
      <c r="M203" s="20" t="s">
        <v>114</v>
      </c>
      <c r="N203" s="14" t="s">
        <v>130</v>
      </c>
      <c r="O203" s="12">
        <f t="shared" si="9"/>
        <v>10</v>
      </c>
      <c r="P203" t="str">
        <f t="shared" si="11"/>
        <v>DW60DG540</v>
      </c>
      <c r="Q203">
        <f t="shared" si="10"/>
        <v>3</v>
      </c>
      <c r="R203" s="21"/>
    </row>
    <row r="204" spans="1:18" x14ac:dyDescent="0.3">
      <c r="A204" s="14">
        <v>7042</v>
      </c>
      <c r="B204" s="8" t="s">
        <v>96</v>
      </c>
      <c r="C204" s="15" t="s">
        <v>597</v>
      </c>
      <c r="D204" s="16">
        <v>8806095533711</v>
      </c>
      <c r="E204" s="14" t="s">
        <v>598</v>
      </c>
      <c r="F204" s="17" t="s">
        <v>599</v>
      </c>
      <c r="G204" s="18">
        <v>12</v>
      </c>
      <c r="H204" s="19">
        <v>10</v>
      </c>
      <c r="I204" s="18">
        <v>0</v>
      </c>
      <c r="J204" s="8" t="s">
        <v>100</v>
      </c>
      <c r="K204" s="14">
        <v>28699</v>
      </c>
      <c r="L204" s="14" t="s">
        <v>593</v>
      </c>
      <c r="M204" s="20" t="s">
        <v>114</v>
      </c>
      <c r="N204" s="14" t="s">
        <v>115</v>
      </c>
      <c r="O204" s="12">
        <f t="shared" si="9"/>
        <v>10</v>
      </c>
      <c r="P204" t="str">
        <f t="shared" si="11"/>
        <v>DW60DG550</v>
      </c>
      <c r="Q204">
        <f t="shared" si="10"/>
        <v>2</v>
      </c>
      <c r="R204" s="21"/>
    </row>
    <row r="205" spans="1:18" x14ac:dyDescent="0.3">
      <c r="A205" s="14">
        <v>7043</v>
      </c>
      <c r="B205" s="8" t="s">
        <v>96</v>
      </c>
      <c r="C205" s="15" t="s">
        <v>600</v>
      </c>
      <c r="D205" s="16">
        <v>8806095533728</v>
      </c>
      <c r="E205" s="14" t="s">
        <v>601</v>
      </c>
      <c r="F205" s="17" t="s">
        <v>602</v>
      </c>
      <c r="G205" s="18">
        <v>7</v>
      </c>
      <c r="H205" s="19">
        <v>6</v>
      </c>
      <c r="I205" s="18">
        <v>0</v>
      </c>
      <c r="J205" s="8" t="s">
        <v>100</v>
      </c>
      <c r="K205" s="14">
        <v>27999</v>
      </c>
      <c r="L205" s="14" t="s">
        <v>593</v>
      </c>
      <c r="M205" s="20" t="s">
        <v>114</v>
      </c>
      <c r="N205" s="14" t="s">
        <v>115</v>
      </c>
      <c r="O205" s="12">
        <f t="shared" si="9"/>
        <v>10</v>
      </c>
      <c r="P205" t="str">
        <f t="shared" si="11"/>
        <v>DW60DG550</v>
      </c>
      <c r="Q205">
        <f t="shared" si="10"/>
        <v>1</v>
      </c>
      <c r="R205" s="21"/>
    </row>
    <row r="206" spans="1:18" x14ac:dyDescent="0.3">
      <c r="A206" s="14">
        <v>6987</v>
      </c>
      <c r="B206" s="8" t="s">
        <v>96</v>
      </c>
      <c r="C206" s="15" t="s">
        <v>603</v>
      </c>
      <c r="D206" s="16">
        <v>8806095533742</v>
      </c>
      <c r="E206" s="14" t="s">
        <v>604</v>
      </c>
      <c r="F206" s="17" t="s">
        <v>605</v>
      </c>
      <c r="G206" s="18">
        <v>5</v>
      </c>
      <c r="H206" s="19">
        <v>3</v>
      </c>
      <c r="I206" s="18">
        <v>0</v>
      </c>
      <c r="J206" s="8" t="s">
        <v>100</v>
      </c>
      <c r="K206" s="14">
        <v>29699</v>
      </c>
      <c r="L206" s="14" t="s">
        <v>593</v>
      </c>
      <c r="M206" s="20" t="s">
        <v>114</v>
      </c>
      <c r="N206" s="14" t="s">
        <v>130</v>
      </c>
      <c r="O206" s="12">
        <f t="shared" si="9"/>
        <v>10</v>
      </c>
      <c r="P206" t="str">
        <f t="shared" si="11"/>
        <v>DW60DG560</v>
      </c>
      <c r="Q206">
        <f t="shared" si="10"/>
        <v>2</v>
      </c>
      <c r="R206" s="21"/>
    </row>
    <row r="207" spans="1:18" x14ac:dyDescent="0.3">
      <c r="A207" s="14">
        <v>7027</v>
      </c>
      <c r="B207" s="8" t="s">
        <v>96</v>
      </c>
      <c r="C207" s="15" t="s">
        <v>606</v>
      </c>
      <c r="D207" s="16">
        <v>8806095533735</v>
      </c>
      <c r="E207" s="14" t="s">
        <v>607</v>
      </c>
      <c r="F207" s="17" t="s">
        <v>608</v>
      </c>
      <c r="G207" s="18">
        <v>7</v>
      </c>
      <c r="H207" s="19">
        <v>5</v>
      </c>
      <c r="I207" s="18">
        <v>0</v>
      </c>
      <c r="J207" s="8" t="s">
        <v>100</v>
      </c>
      <c r="K207" s="14">
        <v>30899</v>
      </c>
      <c r="L207" s="14" t="s">
        <v>593</v>
      </c>
      <c r="M207" s="20" t="s">
        <v>114</v>
      </c>
      <c r="N207" s="14" t="s">
        <v>130</v>
      </c>
      <c r="O207" s="12">
        <f t="shared" si="9"/>
        <v>10</v>
      </c>
      <c r="P207" t="str">
        <f t="shared" si="11"/>
        <v>DW60DG560</v>
      </c>
      <c r="Q207">
        <f t="shared" si="10"/>
        <v>2</v>
      </c>
      <c r="R207" s="21"/>
    </row>
    <row r="208" spans="1:18" x14ac:dyDescent="0.3">
      <c r="A208" s="14">
        <v>4393</v>
      </c>
      <c r="B208" s="8" t="s">
        <v>96</v>
      </c>
      <c r="C208" s="15">
        <v>20219718</v>
      </c>
      <c r="D208" s="16">
        <v>8698902197182</v>
      </c>
      <c r="E208" s="14" t="s">
        <v>609</v>
      </c>
      <c r="F208" s="17" t="s">
        <v>610</v>
      </c>
      <c r="G208" s="18">
        <v>1</v>
      </c>
      <c r="H208" s="19">
        <v>0</v>
      </c>
      <c r="I208" s="18">
        <v>0</v>
      </c>
      <c r="J208" s="8" t="s">
        <v>100</v>
      </c>
      <c r="K208" s="14">
        <v>33099</v>
      </c>
      <c r="L208" s="14" t="s">
        <v>593</v>
      </c>
      <c r="M208" s="20" t="s">
        <v>237</v>
      </c>
      <c r="N208" s="14" t="s">
        <v>130</v>
      </c>
      <c r="O208" s="12">
        <f t="shared" si="9"/>
        <v>10</v>
      </c>
      <c r="P208" t="str">
        <f t="shared" si="11"/>
        <v>20219718</v>
      </c>
      <c r="Q208">
        <f t="shared" si="10"/>
        <v>1</v>
      </c>
      <c r="R208" s="21"/>
    </row>
    <row r="209" spans="1:18" x14ac:dyDescent="0.3">
      <c r="A209" s="14">
        <v>5622</v>
      </c>
      <c r="B209" s="8" t="s">
        <v>96</v>
      </c>
      <c r="C209" s="15">
        <v>20263052</v>
      </c>
      <c r="D209" s="16">
        <v>8698902630528</v>
      </c>
      <c r="E209" s="14" t="s">
        <v>611</v>
      </c>
      <c r="F209" s="17" t="s">
        <v>612</v>
      </c>
      <c r="G209" s="18">
        <v>1</v>
      </c>
      <c r="H209" s="19">
        <v>0</v>
      </c>
      <c r="I209" s="18">
        <v>0</v>
      </c>
      <c r="J209" s="8" t="s">
        <v>100</v>
      </c>
      <c r="K209" s="14">
        <v>26549</v>
      </c>
      <c r="L209" s="14" t="s">
        <v>593</v>
      </c>
      <c r="M209" s="20" t="s">
        <v>237</v>
      </c>
      <c r="N209" s="14" t="s">
        <v>130</v>
      </c>
      <c r="O209" s="12">
        <f t="shared" si="9"/>
        <v>10</v>
      </c>
      <c r="P209" t="str">
        <f t="shared" si="11"/>
        <v>20263052</v>
      </c>
      <c r="Q209">
        <f t="shared" si="10"/>
        <v>1</v>
      </c>
      <c r="R209" s="21"/>
    </row>
    <row r="210" spans="1:18" x14ac:dyDescent="0.3">
      <c r="A210" s="14">
        <v>6034</v>
      </c>
      <c r="B210" s="8" t="s">
        <v>96</v>
      </c>
      <c r="C210" s="15">
        <v>20264045</v>
      </c>
      <c r="D210" s="16">
        <v>8698902640459</v>
      </c>
      <c r="E210" s="14" t="s">
        <v>613</v>
      </c>
      <c r="F210" s="17" t="s">
        <v>614</v>
      </c>
      <c r="G210" s="18">
        <v>2</v>
      </c>
      <c r="H210" s="19">
        <v>0</v>
      </c>
      <c r="I210" s="18">
        <v>0</v>
      </c>
      <c r="J210" s="8" t="s">
        <v>100</v>
      </c>
      <c r="K210" s="14">
        <v>24699</v>
      </c>
      <c r="L210" s="14" t="s">
        <v>593</v>
      </c>
      <c r="M210" s="20" t="s">
        <v>237</v>
      </c>
      <c r="N210" s="14" t="s">
        <v>130</v>
      </c>
      <c r="O210" s="12">
        <f t="shared" si="9"/>
        <v>10</v>
      </c>
      <c r="P210" t="str">
        <f t="shared" si="11"/>
        <v>20264045</v>
      </c>
      <c r="Q210">
        <f t="shared" si="10"/>
        <v>2</v>
      </c>
      <c r="R210" s="21"/>
    </row>
    <row r="211" spans="1:18" x14ac:dyDescent="0.3">
      <c r="A211" s="14">
        <v>6800</v>
      </c>
      <c r="B211" s="8" t="s">
        <v>96</v>
      </c>
      <c r="C211" s="15">
        <v>20267366</v>
      </c>
      <c r="D211" s="16">
        <v>8698902673662</v>
      </c>
      <c r="E211" s="14" t="s">
        <v>615</v>
      </c>
      <c r="F211" s="17" t="s">
        <v>616</v>
      </c>
      <c r="G211" s="18">
        <v>1</v>
      </c>
      <c r="H211" s="19">
        <v>0</v>
      </c>
      <c r="I211" s="18">
        <v>0</v>
      </c>
      <c r="J211" s="8" t="s">
        <v>100</v>
      </c>
      <c r="K211" s="14">
        <v>24149</v>
      </c>
      <c r="L211" s="14" t="s">
        <v>593</v>
      </c>
      <c r="M211" s="20" t="s">
        <v>237</v>
      </c>
      <c r="N211" s="14" t="s">
        <v>130</v>
      </c>
      <c r="O211" s="12">
        <f t="shared" si="9"/>
        <v>10</v>
      </c>
      <c r="P211" t="str">
        <f t="shared" si="11"/>
        <v>20267366</v>
      </c>
      <c r="Q211">
        <f t="shared" si="10"/>
        <v>1</v>
      </c>
      <c r="R211" s="21"/>
    </row>
    <row r="212" spans="1:18" x14ac:dyDescent="0.3">
      <c r="A212" s="14">
        <v>6711</v>
      </c>
      <c r="B212" s="8" t="s">
        <v>96</v>
      </c>
      <c r="C212" s="15">
        <v>20267367</v>
      </c>
      <c r="D212" s="16">
        <v>8698902673679</v>
      </c>
      <c r="E212" s="14" t="s">
        <v>617</v>
      </c>
      <c r="F212" s="17" t="s">
        <v>618</v>
      </c>
      <c r="G212" s="18">
        <v>26</v>
      </c>
      <c r="H212" s="19">
        <v>24</v>
      </c>
      <c r="I212" s="18">
        <v>1</v>
      </c>
      <c r="J212" s="8" t="s">
        <v>100</v>
      </c>
      <c r="K212" s="14">
        <v>21849</v>
      </c>
      <c r="L212" s="14" t="s">
        <v>593</v>
      </c>
      <c r="M212" s="20" t="s">
        <v>237</v>
      </c>
      <c r="N212" s="14" t="s">
        <v>130</v>
      </c>
      <c r="O212" s="12">
        <f t="shared" si="9"/>
        <v>10</v>
      </c>
      <c r="P212" t="str">
        <f t="shared" si="11"/>
        <v>20267367</v>
      </c>
      <c r="Q212">
        <f t="shared" si="10"/>
        <v>2</v>
      </c>
      <c r="R212" s="21"/>
    </row>
    <row r="213" spans="1:18" x14ac:dyDescent="0.3">
      <c r="A213" s="14">
        <v>6898</v>
      </c>
      <c r="B213" s="8" t="s">
        <v>96</v>
      </c>
      <c r="C213" s="15">
        <v>20267368</v>
      </c>
      <c r="D213" s="16">
        <v>8698902673686</v>
      </c>
      <c r="E213" s="14" t="s">
        <v>619</v>
      </c>
      <c r="F213" s="17" t="s">
        <v>620</v>
      </c>
      <c r="G213" s="18">
        <v>12</v>
      </c>
      <c r="H213" s="19">
        <v>12</v>
      </c>
      <c r="I213" s="18">
        <v>0</v>
      </c>
      <c r="J213" s="8" t="s">
        <v>100</v>
      </c>
      <c r="K213" s="14">
        <v>24699</v>
      </c>
      <c r="L213" s="14" t="s">
        <v>593</v>
      </c>
      <c r="M213" s="20" t="s">
        <v>237</v>
      </c>
      <c r="N213" s="14" t="s">
        <v>130</v>
      </c>
      <c r="O213" s="12">
        <f t="shared" si="9"/>
        <v>10</v>
      </c>
      <c r="P213" t="str">
        <f t="shared" si="11"/>
        <v>20267368</v>
      </c>
      <c r="Q213">
        <f t="shared" si="10"/>
        <v>0</v>
      </c>
      <c r="R213" s="21"/>
    </row>
    <row r="214" spans="1:18" x14ac:dyDescent="0.3">
      <c r="A214" s="14">
        <v>4876</v>
      </c>
      <c r="B214" s="8" t="s">
        <v>96</v>
      </c>
      <c r="C214" s="15">
        <v>20219341</v>
      </c>
      <c r="D214" s="16">
        <v>8698902193412</v>
      </c>
      <c r="E214" s="14" t="s">
        <v>621</v>
      </c>
      <c r="F214" s="17" t="s">
        <v>622</v>
      </c>
      <c r="G214" s="18">
        <v>1</v>
      </c>
      <c r="H214" s="19">
        <v>0</v>
      </c>
      <c r="I214" s="18">
        <v>0</v>
      </c>
      <c r="J214" s="8" t="s">
        <v>100</v>
      </c>
      <c r="K214" s="14">
        <v>30449</v>
      </c>
      <c r="L214" s="14" t="s">
        <v>593</v>
      </c>
      <c r="M214" s="20" t="s">
        <v>237</v>
      </c>
      <c r="N214" s="14" t="s">
        <v>130</v>
      </c>
      <c r="O214" s="12">
        <f t="shared" si="9"/>
        <v>10</v>
      </c>
      <c r="P214" t="str">
        <f t="shared" si="11"/>
        <v>20219341</v>
      </c>
      <c r="Q214">
        <f t="shared" si="10"/>
        <v>1</v>
      </c>
      <c r="R214" s="21"/>
    </row>
    <row r="215" spans="1:18" x14ac:dyDescent="0.3">
      <c r="A215" s="14">
        <v>5556</v>
      </c>
      <c r="B215" s="8" t="s">
        <v>96</v>
      </c>
      <c r="C215" s="15">
        <v>20263205</v>
      </c>
      <c r="D215" s="16">
        <v>8698902632058</v>
      </c>
      <c r="E215" s="14" t="s">
        <v>623</v>
      </c>
      <c r="F215" s="17" t="s">
        <v>624</v>
      </c>
      <c r="G215" s="18">
        <v>1</v>
      </c>
      <c r="H215" s="19">
        <v>0</v>
      </c>
      <c r="I215" s="18">
        <v>0</v>
      </c>
      <c r="J215" s="8" t="s">
        <v>100</v>
      </c>
      <c r="K215" s="14">
        <v>30199</v>
      </c>
      <c r="L215" s="14" t="s">
        <v>593</v>
      </c>
      <c r="M215" s="20" t="s">
        <v>237</v>
      </c>
      <c r="N215" s="14" t="s">
        <v>130</v>
      </c>
      <c r="O215" s="12">
        <f t="shared" si="9"/>
        <v>10</v>
      </c>
      <c r="P215" t="str">
        <f t="shared" si="11"/>
        <v>20263205</v>
      </c>
      <c r="Q215">
        <f t="shared" si="10"/>
        <v>1</v>
      </c>
      <c r="R215" s="21"/>
    </row>
    <row r="216" spans="1:18" x14ac:dyDescent="0.3">
      <c r="A216" s="14">
        <v>5567</v>
      </c>
      <c r="B216" s="8" t="s">
        <v>96</v>
      </c>
      <c r="C216" s="15">
        <v>20263202</v>
      </c>
      <c r="D216" s="16">
        <v>8698902632027</v>
      </c>
      <c r="E216" s="14" t="s">
        <v>625</v>
      </c>
      <c r="F216" s="17" t="s">
        <v>626</v>
      </c>
      <c r="G216" s="18">
        <v>1</v>
      </c>
      <c r="H216" s="19">
        <v>1</v>
      </c>
      <c r="I216" s="18">
        <v>0</v>
      </c>
      <c r="J216" s="8" t="s">
        <v>100</v>
      </c>
      <c r="K216" s="14">
        <v>29899</v>
      </c>
      <c r="L216" s="14" t="s">
        <v>593</v>
      </c>
      <c r="M216" s="20" t="s">
        <v>237</v>
      </c>
      <c r="N216" s="14" t="s">
        <v>130</v>
      </c>
      <c r="O216" s="12">
        <f t="shared" si="9"/>
        <v>10</v>
      </c>
      <c r="P216" t="str">
        <f t="shared" si="11"/>
        <v>20263202</v>
      </c>
      <c r="Q216">
        <f t="shared" si="10"/>
        <v>0</v>
      </c>
      <c r="R216" s="21"/>
    </row>
    <row r="217" spans="1:18" x14ac:dyDescent="0.3">
      <c r="A217" s="14">
        <v>6605</v>
      </c>
      <c r="B217" s="8" t="s">
        <v>96</v>
      </c>
      <c r="C217" s="15">
        <v>20263198</v>
      </c>
      <c r="D217" s="16">
        <v>8698902631983</v>
      </c>
      <c r="E217" s="14" t="s">
        <v>627</v>
      </c>
      <c r="F217" s="17" t="s">
        <v>628</v>
      </c>
      <c r="G217" s="18">
        <v>1</v>
      </c>
      <c r="I217" s="18">
        <v>0</v>
      </c>
      <c r="J217" s="8" t="s">
        <v>100</v>
      </c>
      <c r="K217" s="14">
        <v>30449</v>
      </c>
      <c r="L217" s="14" t="s">
        <v>593</v>
      </c>
      <c r="M217" s="20" t="s">
        <v>237</v>
      </c>
      <c r="N217" s="14" t="s">
        <v>130</v>
      </c>
      <c r="O217" s="12">
        <f t="shared" si="9"/>
        <v>10</v>
      </c>
      <c r="P217" t="str">
        <f t="shared" si="11"/>
        <v>20263198</v>
      </c>
      <c r="Q217">
        <f t="shared" si="10"/>
        <v>1</v>
      </c>
      <c r="R217" s="21"/>
    </row>
    <row r="218" spans="1:18" x14ac:dyDescent="0.3">
      <c r="A218" s="14">
        <v>1030</v>
      </c>
      <c r="B218" s="8" t="s">
        <v>96</v>
      </c>
      <c r="C218" s="15">
        <v>20214813</v>
      </c>
      <c r="D218" s="16">
        <v>8698902155342</v>
      </c>
      <c r="E218" s="14" t="s">
        <v>629</v>
      </c>
      <c r="F218" s="17" t="s">
        <v>630</v>
      </c>
      <c r="G218" s="18">
        <v>1</v>
      </c>
      <c r="H218" s="19">
        <v>0</v>
      </c>
      <c r="I218" s="18">
        <v>0</v>
      </c>
      <c r="J218" s="8" t="s">
        <v>100</v>
      </c>
      <c r="K218" s="14">
        <v>32799</v>
      </c>
      <c r="L218" s="14" t="s">
        <v>593</v>
      </c>
      <c r="M218" s="20" t="s">
        <v>237</v>
      </c>
      <c r="N218" s="14" t="s">
        <v>130</v>
      </c>
      <c r="O218" s="12">
        <f t="shared" si="9"/>
        <v>10</v>
      </c>
      <c r="P218" t="str">
        <f t="shared" si="11"/>
        <v>20214813</v>
      </c>
      <c r="Q218">
        <f t="shared" si="10"/>
        <v>1</v>
      </c>
      <c r="R218" s="21"/>
    </row>
    <row r="219" spans="1:18" x14ac:dyDescent="0.3">
      <c r="A219" s="14">
        <v>5815</v>
      </c>
      <c r="B219" s="8" t="s">
        <v>96</v>
      </c>
      <c r="C219" s="15">
        <v>20264047</v>
      </c>
      <c r="D219" s="16">
        <v>8698902640473</v>
      </c>
      <c r="E219" s="14" t="s">
        <v>631</v>
      </c>
      <c r="F219" s="17" t="s">
        <v>632</v>
      </c>
      <c r="G219" s="18">
        <v>4</v>
      </c>
      <c r="H219" s="19">
        <v>2</v>
      </c>
      <c r="I219" s="18">
        <v>0</v>
      </c>
      <c r="J219" s="8" t="s">
        <v>100</v>
      </c>
      <c r="K219" s="14">
        <v>27599</v>
      </c>
      <c r="L219" s="14" t="s">
        <v>593</v>
      </c>
      <c r="M219" s="20" t="s">
        <v>237</v>
      </c>
      <c r="N219" s="14" t="s">
        <v>130</v>
      </c>
      <c r="O219" s="12">
        <f t="shared" si="9"/>
        <v>10</v>
      </c>
      <c r="P219" t="str">
        <f t="shared" si="11"/>
        <v>20264047</v>
      </c>
      <c r="Q219">
        <f t="shared" si="10"/>
        <v>2</v>
      </c>
      <c r="R219" s="21"/>
    </row>
    <row r="220" spans="1:18" x14ac:dyDescent="0.3">
      <c r="A220" s="14">
        <v>6802</v>
      </c>
      <c r="B220" s="8" t="s">
        <v>96</v>
      </c>
      <c r="C220" s="15">
        <v>20267370</v>
      </c>
      <c r="D220" s="16">
        <v>8698902673709</v>
      </c>
      <c r="E220" s="14" t="s">
        <v>633</v>
      </c>
      <c r="F220" s="17" t="s">
        <v>634</v>
      </c>
      <c r="G220" s="18">
        <v>1</v>
      </c>
      <c r="H220" s="19">
        <v>1</v>
      </c>
      <c r="I220" s="18">
        <v>0</v>
      </c>
      <c r="J220" s="8" t="s">
        <v>100</v>
      </c>
      <c r="K220" s="14">
        <v>27299</v>
      </c>
      <c r="L220" s="14" t="s">
        <v>593</v>
      </c>
      <c r="M220" s="20" t="s">
        <v>237</v>
      </c>
      <c r="N220" s="14" t="s">
        <v>130</v>
      </c>
      <c r="O220" s="12">
        <f t="shared" si="9"/>
        <v>10</v>
      </c>
      <c r="P220" t="str">
        <f t="shared" si="11"/>
        <v>20267370</v>
      </c>
      <c r="Q220">
        <f t="shared" si="10"/>
        <v>0</v>
      </c>
      <c r="R220" s="21"/>
    </row>
    <row r="221" spans="1:18" x14ac:dyDescent="0.3">
      <c r="A221" s="14">
        <v>6703</v>
      </c>
      <c r="B221" s="8" t="s">
        <v>96</v>
      </c>
      <c r="C221" s="15">
        <v>20267371</v>
      </c>
      <c r="D221" s="16">
        <v>8698902673716</v>
      </c>
      <c r="E221" s="14" t="s">
        <v>635</v>
      </c>
      <c r="F221" s="17" t="s">
        <v>636</v>
      </c>
      <c r="G221" s="18">
        <v>9</v>
      </c>
      <c r="H221" s="19">
        <v>7</v>
      </c>
      <c r="I221" s="18">
        <v>1</v>
      </c>
      <c r="J221" s="8" t="s">
        <v>100</v>
      </c>
      <c r="K221" s="14">
        <v>25299</v>
      </c>
      <c r="L221" s="14" t="s">
        <v>593</v>
      </c>
      <c r="M221" s="20" t="s">
        <v>237</v>
      </c>
      <c r="N221" s="14" t="s">
        <v>130</v>
      </c>
      <c r="O221" s="12">
        <f t="shared" si="9"/>
        <v>10</v>
      </c>
      <c r="P221" t="str">
        <f t="shared" si="11"/>
        <v>20267371</v>
      </c>
      <c r="Q221">
        <f t="shared" si="10"/>
        <v>2</v>
      </c>
      <c r="R221" s="21"/>
    </row>
    <row r="222" spans="1:18" x14ac:dyDescent="0.3">
      <c r="A222" s="14">
        <v>6866</v>
      </c>
      <c r="B222" s="8" t="s">
        <v>96</v>
      </c>
      <c r="C222" s="15">
        <v>20267372</v>
      </c>
      <c r="D222" s="16">
        <v>8698902673723</v>
      </c>
      <c r="E222" s="14" t="s">
        <v>637</v>
      </c>
      <c r="F222" s="17" t="s">
        <v>638</v>
      </c>
      <c r="G222" s="18">
        <v>4</v>
      </c>
      <c r="H222" s="19">
        <v>4</v>
      </c>
      <c r="I222" s="18">
        <v>0</v>
      </c>
      <c r="J222" s="8" t="s">
        <v>100</v>
      </c>
      <c r="K222" s="14">
        <v>27599</v>
      </c>
      <c r="L222" s="14" t="s">
        <v>593</v>
      </c>
      <c r="M222" s="20" t="s">
        <v>237</v>
      </c>
      <c r="N222" s="14" t="s">
        <v>130</v>
      </c>
      <c r="O222" s="12">
        <f t="shared" si="9"/>
        <v>10</v>
      </c>
      <c r="P222" t="str">
        <f t="shared" si="11"/>
        <v>20267372</v>
      </c>
      <c r="Q222">
        <f t="shared" si="10"/>
        <v>0</v>
      </c>
      <c r="R222" s="21"/>
    </row>
    <row r="223" spans="1:18" x14ac:dyDescent="0.3">
      <c r="A223" s="14">
        <v>6744</v>
      </c>
      <c r="B223" s="8" t="s">
        <v>96</v>
      </c>
      <c r="C223" s="15">
        <v>20267373</v>
      </c>
      <c r="D223" s="16">
        <v>8698902673730</v>
      </c>
      <c r="E223" s="14" t="s">
        <v>639</v>
      </c>
      <c r="F223" s="17" t="s">
        <v>640</v>
      </c>
      <c r="G223" s="18">
        <v>8</v>
      </c>
      <c r="H223" s="19">
        <v>8</v>
      </c>
      <c r="I223" s="18">
        <v>0</v>
      </c>
      <c r="J223" s="8" t="s">
        <v>100</v>
      </c>
      <c r="K223" s="14">
        <v>28749</v>
      </c>
      <c r="L223" s="14" t="s">
        <v>593</v>
      </c>
      <c r="M223" s="20" t="s">
        <v>237</v>
      </c>
      <c r="N223" s="14" t="s">
        <v>130</v>
      </c>
      <c r="O223" s="12">
        <f t="shared" si="9"/>
        <v>10</v>
      </c>
      <c r="P223" t="str">
        <f t="shared" si="11"/>
        <v>20267373</v>
      </c>
      <c r="Q223">
        <f t="shared" si="10"/>
        <v>0</v>
      </c>
      <c r="R223" s="21"/>
    </row>
    <row r="224" spans="1:18" x14ac:dyDescent="0.3">
      <c r="A224" s="14">
        <v>7346</v>
      </c>
      <c r="B224" s="8" t="s">
        <v>96</v>
      </c>
      <c r="C224" s="15">
        <v>20350087</v>
      </c>
      <c r="D224" s="16">
        <v>8698902008334</v>
      </c>
      <c r="E224" s="14" t="s">
        <v>641</v>
      </c>
      <c r="F224" s="17" t="s">
        <v>642</v>
      </c>
      <c r="G224" s="18">
        <v>18</v>
      </c>
      <c r="H224" s="19">
        <v>16</v>
      </c>
      <c r="I224" s="18">
        <v>1</v>
      </c>
      <c r="J224" s="8" t="s">
        <v>100</v>
      </c>
      <c r="K224" s="14">
        <v>29999</v>
      </c>
      <c r="L224" s="14" t="s">
        <v>593</v>
      </c>
      <c r="M224" s="20" t="s">
        <v>237</v>
      </c>
      <c r="N224" s="14" t="s">
        <v>130</v>
      </c>
      <c r="O224" s="12">
        <f t="shared" si="9"/>
        <v>10</v>
      </c>
      <c r="P224" t="str">
        <f t="shared" si="11"/>
        <v>20350087</v>
      </c>
      <c r="Q224">
        <f t="shared" si="10"/>
        <v>2</v>
      </c>
      <c r="R224" s="21"/>
    </row>
    <row r="225" spans="1:18" x14ac:dyDescent="0.3">
      <c r="A225" s="14">
        <v>6912</v>
      </c>
      <c r="B225" s="8" t="s">
        <v>96</v>
      </c>
      <c r="C225" s="15" t="s">
        <v>643</v>
      </c>
      <c r="E225" s="14" t="s">
        <v>643</v>
      </c>
      <c r="F225" s="17" t="s">
        <v>644</v>
      </c>
      <c r="G225" s="18">
        <v>7</v>
      </c>
      <c r="H225" s="19">
        <v>0</v>
      </c>
      <c r="I225" s="18">
        <v>0</v>
      </c>
      <c r="J225" s="8" t="s">
        <v>100</v>
      </c>
      <c r="K225" s="14">
        <v>2399</v>
      </c>
      <c r="L225" s="14" t="s">
        <v>101</v>
      </c>
      <c r="M225" s="20" t="s">
        <v>102</v>
      </c>
      <c r="N225" s="14" t="s">
        <v>103</v>
      </c>
      <c r="O225" s="12">
        <f t="shared" si="9"/>
        <v>10</v>
      </c>
      <c r="P225" t="str">
        <f t="shared" si="11"/>
        <v>BRE710/05</v>
      </c>
      <c r="Q225">
        <f t="shared" si="10"/>
        <v>7</v>
      </c>
      <c r="R225" s="21"/>
    </row>
    <row r="226" spans="1:18" x14ac:dyDescent="0.3">
      <c r="A226" s="14">
        <v>7317</v>
      </c>
      <c r="B226" s="8" t="s">
        <v>96</v>
      </c>
      <c r="C226" s="15" t="s">
        <v>645</v>
      </c>
      <c r="D226" s="16">
        <v>8806097195269</v>
      </c>
      <c r="E226" s="14" t="s">
        <v>646</v>
      </c>
      <c r="F226" s="17" t="s">
        <v>647</v>
      </c>
      <c r="G226" s="18">
        <v>1</v>
      </c>
      <c r="I226" s="18">
        <v>0</v>
      </c>
      <c r="J226" s="8" t="s">
        <v>100</v>
      </c>
      <c r="K226" s="14">
        <v>24999</v>
      </c>
      <c r="L226" s="14" t="s">
        <v>648</v>
      </c>
      <c r="M226" s="20" t="s">
        <v>114</v>
      </c>
      <c r="N226" s="14" t="s">
        <v>649</v>
      </c>
      <c r="O226" s="12">
        <f t="shared" si="9"/>
        <v>10</v>
      </c>
      <c r="P226" t="str">
        <f t="shared" si="11"/>
        <v>SM-X520✦R</v>
      </c>
      <c r="Q226">
        <f t="shared" si="10"/>
        <v>1</v>
      </c>
      <c r="R226" s="21"/>
    </row>
    <row r="227" spans="1:18" x14ac:dyDescent="0.3">
      <c r="A227" s="14">
        <v>7316</v>
      </c>
      <c r="B227" s="8" t="s">
        <v>96</v>
      </c>
      <c r="C227" s="15" t="s">
        <v>650</v>
      </c>
      <c r="D227" s="16">
        <v>8806097197751</v>
      </c>
      <c r="E227" s="14" t="s">
        <v>651</v>
      </c>
      <c r="F227" s="17" t="s">
        <v>652</v>
      </c>
      <c r="G227" s="18">
        <v>2</v>
      </c>
      <c r="I227" s="18">
        <v>0</v>
      </c>
      <c r="J227" s="8" t="s">
        <v>100</v>
      </c>
      <c r="K227" s="14">
        <v>32999</v>
      </c>
      <c r="L227" s="14" t="s">
        <v>648</v>
      </c>
      <c r="M227" s="20" t="s">
        <v>114</v>
      </c>
      <c r="N227" s="14" t="s">
        <v>649</v>
      </c>
      <c r="O227" s="12">
        <f t="shared" si="9"/>
        <v>10</v>
      </c>
      <c r="P227" t="str">
        <f t="shared" si="11"/>
        <v>SM-X620✦R</v>
      </c>
      <c r="Q227">
        <f t="shared" si="10"/>
        <v>2</v>
      </c>
      <c r="R227" s="21"/>
    </row>
    <row r="228" spans="1:18" x14ac:dyDescent="0.3">
      <c r="A228" s="14">
        <v>6752</v>
      </c>
      <c r="B228" s="8" t="s">
        <v>96</v>
      </c>
      <c r="C228" s="15" t="s">
        <v>653</v>
      </c>
      <c r="D228" s="16">
        <v>8806095292328</v>
      </c>
      <c r="E228" s="14" t="s">
        <v>654</v>
      </c>
      <c r="F228" s="17" t="s">
        <v>655</v>
      </c>
      <c r="G228" s="18">
        <v>1</v>
      </c>
      <c r="I228" s="18">
        <v>0</v>
      </c>
      <c r="J228" s="8" t="s">
        <v>100</v>
      </c>
      <c r="K228" s="14">
        <v>8099</v>
      </c>
      <c r="L228" s="14" t="s">
        <v>648</v>
      </c>
      <c r="M228" s="20" t="s">
        <v>114</v>
      </c>
      <c r="N228" s="14" t="s">
        <v>649</v>
      </c>
      <c r="O228" s="12">
        <f t="shared" si="9"/>
        <v>10</v>
      </c>
      <c r="P228" t="str">
        <f t="shared" si="11"/>
        <v>SM-X210✦A</v>
      </c>
      <c r="Q228">
        <f t="shared" si="10"/>
        <v>1</v>
      </c>
      <c r="R228" s="21"/>
    </row>
    <row r="229" spans="1:18" x14ac:dyDescent="0.3">
      <c r="A229" s="14">
        <v>7524</v>
      </c>
      <c r="B229" s="8" t="s">
        <v>96</v>
      </c>
      <c r="C229" s="15" t="s">
        <v>656</v>
      </c>
      <c r="D229" s="16">
        <v>8806097452027</v>
      </c>
      <c r="E229" s="14" t="s">
        <v>657</v>
      </c>
      <c r="F229" s="17" t="s">
        <v>658</v>
      </c>
      <c r="G229" s="18">
        <v>2</v>
      </c>
      <c r="I229" s="18">
        <v>0</v>
      </c>
      <c r="J229" s="8" t="s">
        <v>100</v>
      </c>
      <c r="K229" s="14">
        <v>9499</v>
      </c>
      <c r="L229" s="14" t="s">
        <v>648</v>
      </c>
      <c r="M229" s="20" t="s">
        <v>114</v>
      </c>
      <c r="N229" s="14" t="s">
        <v>649</v>
      </c>
      <c r="O229" s="12">
        <f t="shared" si="9"/>
        <v>10</v>
      </c>
      <c r="P229" t="str">
        <f t="shared" si="11"/>
        <v>SM-X210✦R</v>
      </c>
      <c r="Q229">
        <f t="shared" si="10"/>
        <v>2</v>
      </c>
      <c r="R229" s="21"/>
    </row>
    <row r="230" spans="1:18" x14ac:dyDescent="0.3">
      <c r="A230" s="14">
        <v>6754</v>
      </c>
      <c r="B230" s="8" t="s">
        <v>96</v>
      </c>
      <c r="C230" s="15" t="s">
        <v>659</v>
      </c>
      <c r="D230" s="16">
        <v>8806095292342</v>
      </c>
      <c r="E230" s="14" t="s">
        <v>660</v>
      </c>
      <c r="F230" s="17" t="s">
        <v>661</v>
      </c>
      <c r="G230" s="18">
        <v>1</v>
      </c>
      <c r="H230" s="19">
        <v>0</v>
      </c>
      <c r="I230" s="18">
        <v>0</v>
      </c>
      <c r="J230" s="8" t="s">
        <v>100</v>
      </c>
      <c r="K230" s="14">
        <v>8099</v>
      </c>
      <c r="L230" s="14" t="s">
        <v>648</v>
      </c>
      <c r="M230" s="20" t="s">
        <v>114</v>
      </c>
      <c r="N230" s="14" t="s">
        <v>649</v>
      </c>
      <c r="O230" s="12">
        <f t="shared" si="9"/>
        <v>10</v>
      </c>
      <c r="P230" t="str">
        <f t="shared" si="11"/>
        <v>SM-X210✦A</v>
      </c>
      <c r="Q230">
        <f t="shared" si="10"/>
        <v>1</v>
      </c>
      <c r="R230" s="21"/>
    </row>
    <row r="231" spans="1:18" x14ac:dyDescent="0.3">
      <c r="A231" s="14">
        <v>7467</v>
      </c>
      <c r="B231" s="8" t="s">
        <v>96</v>
      </c>
      <c r="C231" s="15" t="s">
        <v>662</v>
      </c>
      <c r="D231" s="16">
        <v>8806097452058</v>
      </c>
      <c r="E231" s="14" t="s">
        <v>663</v>
      </c>
      <c r="F231" s="17" t="s">
        <v>664</v>
      </c>
      <c r="G231" s="18">
        <v>5</v>
      </c>
      <c r="H231" s="19">
        <v>0</v>
      </c>
      <c r="I231" s="18">
        <v>0</v>
      </c>
      <c r="J231" s="8" t="s">
        <v>100</v>
      </c>
      <c r="K231" s="14">
        <v>9999</v>
      </c>
      <c r="L231" s="14" t="s">
        <v>648</v>
      </c>
      <c r="M231" s="20" t="s">
        <v>114</v>
      </c>
      <c r="N231" s="14" t="s">
        <v>649</v>
      </c>
      <c r="O231" s="12">
        <f t="shared" si="9"/>
        <v>10</v>
      </c>
      <c r="P231" t="str">
        <f t="shared" si="11"/>
        <v>SM-X210✦P</v>
      </c>
      <c r="Q231">
        <f t="shared" si="10"/>
        <v>5</v>
      </c>
      <c r="R231" s="21"/>
    </row>
    <row r="232" spans="1:18" x14ac:dyDescent="0.3">
      <c r="A232" s="14">
        <v>7470</v>
      </c>
      <c r="B232" s="8" t="s">
        <v>96</v>
      </c>
      <c r="C232" s="15" t="s">
        <v>665</v>
      </c>
      <c r="D232" s="16">
        <v>8806097452010</v>
      </c>
      <c r="E232" s="14" t="s">
        <v>666</v>
      </c>
      <c r="F232" s="17" t="s">
        <v>667</v>
      </c>
      <c r="G232" s="22">
        <v>2</v>
      </c>
      <c r="H232" s="19">
        <v>0</v>
      </c>
      <c r="I232" s="18">
        <v>0</v>
      </c>
      <c r="J232" s="8" t="s">
        <v>100</v>
      </c>
      <c r="K232" s="14">
        <v>9999</v>
      </c>
      <c r="L232" s="14" t="s">
        <v>648</v>
      </c>
      <c r="M232" s="20" t="s">
        <v>114</v>
      </c>
      <c r="N232" s="14" t="s">
        <v>649</v>
      </c>
      <c r="O232" s="12">
        <f t="shared" si="9"/>
        <v>10</v>
      </c>
      <c r="P232" t="str">
        <f t="shared" si="11"/>
        <v>SM-X210✦P</v>
      </c>
      <c r="Q232">
        <f t="shared" si="10"/>
        <v>2</v>
      </c>
      <c r="R232" s="21"/>
    </row>
    <row r="233" spans="1:18" x14ac:dyDescent="0.3">
      <c r="A233" s="14">
        <v>7510</v>
      </c>
      <c r="B233" s="8" t="s">
        <v>96</v>
      </c>
      <c r="C233" s="15" t="s">
        <v>668</v>
      </c>
      <c r="D233" s="16">
        <v>8806097654964</v>
      </c>
      <c r="E233" s="14" t="s">
        <v>669</v>
      </c>
      <c r="F233" s="17" t="s">
        <v>670</v>
      </c>
      <c r="G233" s="22">
        <v>1</v>
      </c>
      <c r="I233" s="18">
        <v>0</v>
      </c>
      <c r="J233" s="8" t="s">
        <v>100</v>
      </c>
      <c r="K233" s="14">
        <v>15999</v>
      </c>
      <c r="L233" s="14" t="s">
        <v>648</v>
      </c>
      <c r="M233" s="20" t="s">
        <v>114</v>
      </c>
      <c r="N233" s="14" t="s">
        <v>649</v>
      </c>
      <c r="O233" s="12">
        <f t="shared" si="9"/>
        <v>10</v>
      </c>
      <c r="P233" t="str">
        <f t="shared" si="11"/>
        <v>SM-X400✦R</v>
      </c>
      <c r="Q233">
        <f t="shared" si="10"/>
        <v>1</v>
      </c>
      <c r="R233" s="21"/>
    </row>
    <row r="234" spans="1:18" x14ac:dyDescent="0.3">
      <c r="A234" s="14">
        <v>7138</v>
      </c>
      <c r="B234" s="8" t="s">
        <v>96</v>
      </c>
      <c r="C234" s="15" t="s">
        <v>671</v>
      </c>
      <c r="D234" s="16">
        <v>8806095812052</v>
      </c>
      <c r="E234" s="14" t="s">
        <v>672</v>
      </c>
      <c r="F234" s="17" t="s">
        <v>673</v>
      </c>
      <c r="G234" s="18">
        <v>2</v>
      </c>
      <c r="I234" s="18">
        <v>0</v>
      </c>
      <c r="J234" s="8" t="s">
        <v>100</v>
      </c>
      <c r="K234" s="14">
        <v>58099</v>
      </c>
      <c r="L234" s="14" t="s">
        <v>648</v>
      </c>
      <c r="M234" s="20" t="s">
        <v>114</v>
      </c>
      <c r="N234" s="14" t="s">
        <v>649</v>
      </c>
      <c r="O234" s="12">
        <f t="shared" si="9"/>
        <v>10</v>
      </c>
      <c r="P234" t="str">
        <f t="shared" si="11"/>
        <v>SM-X920✦5</v>
      </c>
      <c r="Q234">
        <f t="shared" si="10"/>
        <v>2</v>
      </c>
      <c r="R234" s="21"/>
    </row>
    <row r="235" spans="1:18" x14ac:dyDescent="0.3">
      <c r="A235" s="14">
        <v>7137</v>
      </c>
      <c r="B235" s="8" t="s">
        <v>96</v>
      </c>
      <c r="C235" s="15" t="s">
        <v>674</v>
      </c>
      <c r="D235" s="16">
        <v>8806095821986</v>
      </c>
      <c r="E235" s="14" t="s">
        <v>675</v>
      </c>
      <c r="F235" s="17" t="s">
        <v>676</v>
      </c>
      <c r="G235" s="18">
        <v>2</v>
      </c>
      <c r="I235" s="18">
        <v>0</v>
      </c>
      <c r="J235" s="8" t="s">
        <v>100</v>
      </c>
      <c r="K235" s="14">
        <v>43149</v>
      </c>
      <c r="L235" s="14" t="s">
        <v>648</v>
      </c>
      <c r="M235" s="20" t="s">
        <v>114</v>
      </c>
      <c r="N235" s="14" t="s">
        <v>649</v>
      </c>
      <c r="O235" s="12">
        <f t="shared" si="9"/>
        <v>10</v>
      </c>
      <c r="P235" t="str">
        <f t="shared" si="11"/>
        <v>SM-X820✦5</v>
      </c>
      <c r="Q235">
        <f t="shared" si="10"/>
        <v>2</v>
      </c>
      <c r="R235" s="21"/>
    </row>
    <row r="236" spans="1:18" x14ac:dyDescent="0.3">
      <c r="A236" s="14">
        <v>7513</v>
      </c>
      <c r="B236" s="8" t="s">
        <v>96</v>
      </c>
      <c r="C236" s="15" t="s">
        <v>677</v>
      </c>
      <c r="D236" s="16">
        <v>8806097715580</v>
      </c>
      <c r="E236" s="14" t="s">
        <v>678</v>
      </c>
      <c r="F236" s="17" t="s">
        <v>679</v>
      </c>
      <c r="G236" s="18">
        <v>1</v>
      </c>
      <c r="I236" s="18">
        <v>0</v>
      </c>
      <c r="J236" s="8" t="s">
        <v>100</v>
      </c>
      <c r="L236" s="14" t="s">
        <v>648</v>
      </c>
      <c r="M236" s="20" t="s">
        <v>114</v>
      </c>
      <c r="N236" s="14" t="s">
        <v>649</v>
      </c>
      <c r="O236" s="12">
        <f t="shared" si="9"/>
        <v>10</v>
      </c>
      <c r="P236" t="str">
        <f t="shared" si="11"/>
        <v>SM-X730✦R</v>
      </c>
      <c r="Q236">
        <f t="shared" si="10"/>
        <v>1</v>
      </c>
      <c r="R236" s="21"/>
    </row>
    <row r="237" spans="1:18" x14ac:dyDescent="0.3">
      <c r="A237" s="14">
        <v>7517</v>
      </c>
      <c r="B237" s="8" t="s">
        <v>96</v>
      </c>
      <c r="C237" s="15" t="s">
        <v>680</v>
      </c>
      <c r="D237" s="16">
        <v>8806097711445</v>
      </c>
      <c r="E237" s="14" t="s">
        <v>681</v>
      </c>
      <c r="F237" s="17" t="s">
        <v>682</v>
      </c>
      <c r="G237" s="18">
        <v>1</v>
      </c>
      <c r="I237" s="18">
        <v>0</v>
      </c>
      <c r="J237" s="8" t="s">
        <v>100</v>
      </c>
      <c r="K237" s="14">
        <v>59999</v>
      </c>
      <c r="L237" s="14" t="s">
        <v>648</v>
      </c>
      <c r="M237" s="20" t="s">
        <v>114</v>
      </c>
      <c r="N237" s="14" t="s">
        <v>649</v>
      </c>
      <c r="O237" s="12">
        <f t="shared" si="9"/>
        <v>10</v>
      </c>
      <c r="P237" t="str">
        <f t="shared" si="11"/>
        <v>SM-X930✦P</v>
      </c>
      <c r="Q237">
        <f t="shared" si="10"/>
        <v>1</v>
      </c>
      <c r="R237" s="21"/>
    </row>
    <row r="238" spans="1:18" x14ac:dyDescent="0.3">
      <c r="A238" s="14">
        <v>7446</v>
      </c>
      <c r="B238" s="8" t="s">
        <v>96</v>
      </c>
      <c r="C238" s="15" t="s">
        <v>683</v>
      </c>
      <c r="D238" s="16">
        <v>8806095906195</v>
      </c>
      <c r="E238" s="14" t="s">
        <v>684</v>
      </c>
      <c r="F238" s="17" t="s">
        <v>685</v>
      </c>
      <c r="G238" s="18">
        <v>1</v>
      </c>
      <c r="I238" s="18">
        <v>0</v>
      </c>
      <c r="J238" s="8" t="s">
        <v>100</v>
      </c>
      <c r="K238" s="14">
        <v>19999</v>
      </c>
      <c r="L238" s="14" t="s">
        <v>686</v>
      </c>
      <c r="M238" s="20" t="s">
        <v>114</v>
      </c>
      <c r="N238" s="14" t="s">
        <v>234</v>
      </c>
      <c r="O238" s="12">
        <f t="shared" si="9"/>
        <v>10</v>
      </c>
      <c r="P238" t="str">
        <f t="shared" si="11"/>
        <v>EF-DX925B</v>
      </c>
      <c r="Q238">
        <f t="shared" si="10"/>
        <v>1</v>
      </c>
      <c r="R238" s="21"/>
    </row>
    <row r="239" spans="1:18" x14ac:dyDescent="0.3">
      <c r="A239" s="14">
        <v>7507</v>
      </c>
      <c r="B239" s="8" t="s">
        <v>96</v>
      </c>
      <c r="C239" s="15">
        <v>20293125</v>
      </c>
      <c r="D239" s="16">
        <v>8698902010771</v>
      </c>
      <c r="E239" s="14" t="s">
        <v>687</v>
      </c>
      <c r="F239" s="17" t="s">
        <v>688</v>
      </c>
      <c r="G239" s="18">
        <v>5</v>
      </c>
      <c r="I239" s="18">
        <v>0</v>
      </c>
      <c r="J239" s="8" t="s">
        <v>100</v>
      </c>
      <c r="K239" s="14">
        <v>39999</v>
      </c>
      <c r="L239" s="14" t="s">
        <v>689</v>
      </c>
      <c r="M239" s="20" t="s">
        <v>237</v>
      </c>
      <c r="N239" s="14" t="s">
        <v>230</v>
      </c>
      <c r="O239" s="12">
        <f t="shared" si="9"/>
        <v>10</v>
      </c>
      <c r="P239" t="str">
        <f t="shared" si="11"/>
        <v>20293125</v>
      </c>
      <c r="Q239">
        <f t="shared" si="10"/>
        <v>5</v>
      </c>
      <c r="R239" s="21"/>
    </row>
    <row r="240" spans="1:18" x14ac:dyDescent="0.3">
      <c r="A240" s="14">
        <v>6708</v>
      </c>
      <c r="B240" s="8" t="s">
        <v>96</v>
      </c>
      <c r="C240" s="15" t="s">
        <v>690</v>
      </c>
      <c r="D240" s="16">
        <v>8680998012838</v>
      </c>
      <c r="E240" s="14" t="s">
        <v>691</v>
      </c>
      <c r="F240" s="17" t="s">
        <v>692</v>
      </c>
      <c r="G240" s="18">
        <v>1</v>
      </c>
      <c r="H240" s="19">
        <v>0</v>
      </c>
      <c r="I240" s="18">
        <v>0</v>
      </c>
      <c r="J240" s="8" t="s">
        <v>100</v>
      </c>
      <c r="K240" s="14">
        <v>699</v>
      </c>
      <c r="L240" s="14" t="s">
        <v>693</v>
      </c>
      <c r="M240" s="20" t="s">
        <v>694</v>
      </c>
      <c r="N240" s="14" t="s">
        <v>234</v>
      </c>
      <c r="O240" s="12">
        <f t="shared" si="9"/>
        <v>10</v>
      </c>
      <c r="P240" t="str">
        <f t="shared" si="11"/>
        <v>TEAPLUS</v>
      </c>
      <c r="Q240">
        <f t="shared" si="10"/>
        <v>1</v>
      </c>
      <c r="R240" s="21"/>
    </row>
    <row r="241" spans="1:18" x14ac:dyDescent="0.3">
      <c r="A241" s="14">
        <v>1866</v>
      </c>
      <c r="B241" s="8" t="s">
        <v>96</v>
      </c>
      <c r="C241" s="15" t="s">
        <v>695</v>
      </c>
      <c r="D241" s="16">
        <v>8710103681632</v>
      </c>
      <c r="E241" s="14" t="s">
        <v>696</v>
      </c>
      <c r="F241" s="17" t="s">
        <v>697</v>
      </c>
      <c r="G241" s="18">
        <v>2</v>
      </c>
      <c r="H241" s="19">
        <v>0</v>
      </c>
      <c r="I241" s="18">
        <v>1</v>
      </c>
      <c r="J241" s="8" t="s">
        <v>100</v>
      </c>
      <c r="K241" s="14">
        <v>2999</v>
      </c>
      <c r="L241" s="14" t="s">
        <v>693</v>
      </c>
      <c r="M241" s="20" t="s">
        <v>102</v>
      </c>
      <c r="N241" s="14" t="s">
        <v>103</v>
      </c>
      <c r="O241" s="12">
        <f t="shared" si="9"/>
        <v>10</v>
      </c>
      <c r="P241" t="str">
        <f t="shared" si="11"/>
        <v>HD7301/00</v>
      </c>
      <c r="Q241">
        <f t="shared" si="10"/>
        <v>2</v>
      </c>
      <c r="R241" s="21"/>
    </row>
    <row r="242" spans="1:18" x14ac:dyDescent="0.3">
      <c r="A242" s="14">
        <v>7126</v>
      </c>
      <c r="B242" s="8" t="s">
        <v>96</v>
      </c>
      <c r="C242" s="15" t="s">
        <v>698</v>
      </c>
      <c r="D242" s="16">
        <v>8710103941040</v>
      </c>
      <c r="E242" s="14" t="s">
        <v>699</v>
      </c>
      <c r="F242" s="17" t="s">
        <v>700</v>
      </c>
      <c r="G242" s="18">
        <v>1</v>
      </c>
      <c r="H242" s="19">
        <v>0</v>
      </c>
      <c r="I242" s="18">
        <v>0</v>
      </c>
      <c r="J242" s="8" t="s">
        <v>100</v>
      </c>
      <c r="K242" s="14">
        <v>2199</v>
      </c>
      <c r="L242" s="14" t="s">
        <v>693</v>
      </c>
      <c r="M242" s="20" t="s">
        <v>102</v>
      </c>
      <c r="N242" s="14" t="s">
        <v>103</v>
      </c>
      <c r="O242" s="12">
        <f t="shared" si="9"/>
        <v>10</v>
      </c>
      <c r="P242" t="str">
        <f t="shared" si="11"/>
        <v>HD9318/20</v>
      </c>
      <c r="Q242">
        <f t="shared" si="10"/>
        <v>1</v>
      </c>
      <c r="R242" s="21"/>
    </row>
    <row r="243" spans="1:18" x14ac:dyDescent="0.3">
      <c r="A243" s="14">
        <v>1624</v>
      </c>
      <c r="B243" s="8" t="s">
        <v>96</v>
      </c>
      <c r="C243" s="15">
        <v>20242190</v>
      </c>
      <c r="D243" s="16">
        <v>8698902421904</v>
      </c>
      <c r="E243" s="14" t="s">
        <v>701</v>
      </c>
      <c r="F243" s="17" t="s">
        <v>702</v>
      </c>
      <c r="G243" s="18">
        <v>2</v>
      </c>
      <c r="H243" s="19">
        <v>0</v>
      </c>
      <c r="I243" s="18">
        <v>0</v>
      </c>
      <c r="J243" s="8" t="s">
        <v>100</v>
      </c>
      <c r="K243" s="14">
        <v>2649</v>
      </c>
      <c r="L243" s="14" t="s">
        <v>693</v>
      </c>
      <c r="M243" s="20" t="s">
        <v>237</v>
      </c>
      <c r="N243" s="14" t="s">
        <v>103</v>
      </c>
      <c r="O243" s="12">
        <f t="shared" si="9"/>
        <v>10</v>
      </c>
      <c r="P243" t="str">
        <f t="shared" si="11"/>
        <v>20242190</v>
      </c>
      <c r="Q243">
        <f t="shared" si="10"/>
        <v>2</v>
      </c>
      <c r="R243" s="21"/>
    </row>
    <row r="244" spans="1:18" x14ac:dyDescent="0.3">
      <c r="A244" s="14">
        <v>5969</v>
      </c>
      <c r="B244" s="8" t="s">
        <v>96</v>
      </c>
      <c r="C244" s="15">
        <v>20244336</v>
      </c>
      <c r="D244" s="16">
        <v>8698902443364</v>
      </c>
      <c r="E244" s="14" t="s">
        <v>703</v>
      </c>
      <c r="F244" s="17" t="s">
        <v>704</v>
      </c>
      <c r="G244" s="18">
        <v>20</v>
      </c>
      <c r="H244" s="19">
        <v>0</v>
      </c>
      <c r="I244" s="18">
        <v>0</v>
      </c>
      <c r="J244" s="8" t="s">
        <v>100</v>
      </c>
      <c r="K244" s="14">
        <v>3899</v>
      </c>
      <c r="L244" s="14" t="s">
        <v>693</v>
      </c>
      <c r="M244" s="20" t="s">
        <v>237</v>
      </c>
      <c r="N244" s="14" t="s">
        <v>103</v>
      </c>
      <c r="O244" s="12">
        <f t="shared" si="9"/>
        <v>10</v>
      </c>
      <c r="P244" t="str">
        <f t="shared" si="11"/>
        <v>20244336</v>
      </c>
      <c r="Q244">
        <f t="shared" si="10"/>
        <v>20</v>
      </c>
      <c r="R244" s="21"/>
    </row>
    <row r="245" spans="1:18" x14ac:dyDescent="0.3">
      <c r="A245" s="14">
        <v>5849</v>
      </c>
      <c r="B245" s="8" t="s">
        <v>96</v>
      </c>
      <c r="C245" s="15">
        <v>20263072</v>
      </c>
      <c r="D245" s="16">
        <v>8698902630726</v>
      </c>
      <c r="E245" s="14" t="s">
        <v>705</v>
      </c>
      <c r="F245" s="17" t="s">
        <v>706</v>
      </c>
      <c r="G245" s="18">
        <v>3</v>
      </c>
      <c r="H245" s="19">
        <v>0</v>
      </c>
      <c r="I245" s="18">
        <v>0</v>
      </c>
      <c r="J245" s="8" t="s">
        <v>100</v>
      </c>
      <c r="K245" s="14">
        <v>3149</v>
      </c>
      <c r="L245" s="14" t="s">
        <v>693</v>
      </c>
      <c r="M245" s="20" t="s">
        <v>237</v>
      </c>
      <c r="N245" s="14" t="s">
        <v>103</v>
      </c>
      <c r="O245" s="12">
        <f t="shared" si="9"/>
        <v>10</v>
      </c>
      <c r="P245" t="str">
        <f t="shared" si="11"/>
        <v>20263072</v>
      </c>
      <c r="Q245">
        <f t="shared" si="10"/>
        <v>3</v>
      </c>
      <c r="R245" s="21"/>
    </row>
    <row r="246" spans="1:18" x14ac:dyDescent="0.3">
      <c r="A246" s="14">
        <v>5492</v>
      </c>
      <c r="B246" s="8" t="s">
        <v>96</v>
      </c>
      <c r="C246" s="15">
        <v>20262347</v>
      </c>
      <c r="D246" s="16">
        <v>8698902623476</v>
      </c>
      <c r="E246" s="14" t="s">
        <v>707</v>
      </c>
      <c r="F246" s="17" t="s">
        <v>708</v>
      </c>
      <c r="G246" s="18">
        <v>1</v>
      </c>
      <c r="H246" s="19">
        <v>0</v>
      </c>
      <c r="I246" s="18">
        <v>0</v>
      </c>
      <c r="J246" s="8" t="s">
        <v>100</v>
      </c>
      <c r="K246" s="14">
        <v>3149</v>
      </c>
      <c r="L246" s="14" t="s">
        <v>693</v>
      </c>
      <c r="M246" s="20" t="s">
        <v>237</v>
      </c>
      <c r="N246" s="14" t="s">
        <v>103</v>
      </c>
      <c r="O246" s="12">
        <f t="shared" si="9"/>
        <v>10</v>
      </c>
      <c r="P246" t="str">
        <f t="shared" si="11"/>
        <v>20262347</v>
      </c>
      <c r="Q246">
        <f t="shared" si="10"/>
        <v>1</v>
      </c>
      <c r="R246" s="21"/>
    </row>
    <row r="247" spans="1:18" x14ac:dyDescent="0.3">
      <c r="A247" s="14">
        <v>6309</v>
      </c>
      <c r="B247" s="8" t="s">
        <v>96</v>
      </c>
      <c r="C247" s="15">
        <v>20265282</v>
      </c>
      <c r="D247" s="16">
        <v>8698902652827</v>
      </c>
      <c r="E247" s="14" t="s">
        <v>709</v>
      </c>
      <c r="F247" s="17" t="s">
        <v>710</v>
      </c>
      <c r="G247" s="18">
        <v>2</v>
      </c>
      <c r="H247" s="19">
        <v>0</v>
      </c>
      <c r="I247" s="18">
        <v>0</v>
      </c>
      <c r="J247" s="8" t="s">
        <v>100</v>
      </c>
      <c r="K247" s="14">
        <v>2799</v>
      </c>
      <c r="L247" s="14" t="s">
        <v>693</v>
      </c>
      <c r="M247" s="20" t="s">
        <v>237</v>
      </c>
      <c r="N247" s="14" t="s">
        <v>103</v>
      </c>
      <c r="O247" s="12">
        <f t="shared" si="9"/>
        <v>10</v>
      </c>
      <c r="P247" t="str">
        <f t="shared" si="11"/>
        <v>20265282</v>
      </c>
      <c r="Q247">
        <f t="shared" si="10"/>
        <v>2</v>
      </c>
      <c r="R247" s="21"/>
    </row>
    <row r="248" spans="1:18" x14ac:dyDescent="0.3">
      <c r="A248" s="14">
        <v>6080</v>
      </c>
      <c r="B248" s="8" t="s">
        <v>96</v>
      </c>
      <c r="C248" s="15">
        <v>20263071</v>
      </c>
      <c r="D248" s="16">
        <v>8698902630719</v>
      </c>
      <c r="E248" s="14" t="s">
        <v>711</v>
      </c>
      <c r="F248" s="17" t="s">
        <v>712</v>
      </c>
      <c r="G248" s="18">
        <v>1</v>
      </c>
      <c r="H248" s="19">
        <v>0</v>
      </c>
      <c r="I248" s="18">
        <v>0</v>
      </c>
      <c r="J248" s="8" t="s">
        <v>100</v>
      </c>
      <c r="K248" s="14">
        <v>2799</v>
      </c>
      <c r="L248" s="14" t="s">
        <v>693</v>
      </c>
      <c r="M248" s="20" t="s">
        <v>237</v>
      </c>
      <c r="N248" s="14" t="s">
        <v>103</v>
      </c>
      <c r="O248" s="12">
        <f t="shared" si="9"/>
        <v>10</v>
      </c>
      <c r="P248" t="str">
        <f t="shared" si="11"/>
        <v>20263071</v>
      </c>
      <c r="Q248">
        <f t="shared" si="10"/>
        <v>1</v>
      </c>
      <c r="R248" s="21"/>
    </row>
    <row r="249" spans="1:18" x14ac:dyDescent="0.3">
      <c r="A249" s="14">
        <v>5578</v>
      </c>
      <c r="B249" s="8" t="s">
        <v>96</v>
      </c>
      <c r="C249" s="15">
        <v>20242903</v>
      </c>
      <c r="D249" s="16">
        <v>8698902429030</v>
      </c>
      <c r="E249" s="14" t="s">
        <v>713</v>
      </c>
      <c r="F249" s="17" t="s">
        <v>714</v>
      </c>
      <c r="G249" s="18">
        <v>9</v>
      </c>
      <c r="H249" s="19">
        <v>0</v>
      </c>
      <c r="I249" s="18">
        <v>1</v>
      </c>
      <c r="J249" s="8" t="s">
        <v>100</v>
      </c>
      <c r="K249" s="14">
        <v>3899</v>
      </c>
      <c r="L249" s="14" t="s">
        <v>693</v>
      </c>
      <c r="M249" s="20" t="s">
        <v>237</v>
      </c>
      <c r="N249" s="14" t="s">
        <v>103</v>
      </c>
      <c r="O249" s="12">
        <f t="shared" si="9"/>
        <v>10</v>
      </c>
      <c r="P249" t="str">
        <f t="shared" si="11"/>
        <v>20242903</v>
      </c>
      <c r="Q249">
        <f t="shared" si="10"/>
        <v>9</v>
      </c>
      <c r="R249" s="21"/>
    </row>
    <row r="250" spans="1:18" x14ac:dyDescent="0.3">
      <c r="A250" s="14">
        <v>6303</v>
      </c>
      <c r="B250" s="8" t="s">
        <v>96</v>
      </c>
      <c r="C250" s="15">
        <v>20244543</v>
      </c>
      <c r="D250" s="16">
        <v>8698902445436</v>
      </c>
      <c r="E250" s="14" t="s">
        <v>715</v>
      </c>
      <c r="F250" s="17" t="s">
        <v>716</v>
      </c>
      <c r="G250" s="18">
        <v>8</v>
      </c>
      <c r="H250" s="19">
        <v>0</v>
      </c>
      <c r="I250" s="18">
        <v>0</v>
      </c>
      <c r="J250" s="8" t="s">
        <v>100</v>
      </c>
      <c r="K250" s="14">
        <v>4599</v>
      </c>
      <c r="L250" s="14" t="s">
        <v>693</v>
      </c>
      <c r="M250" s="20" t="s">
        <v>237</v>
      </c>
      <c r="N250" s="14" t="s">
        <v>103</v>
      </c>
      <c r="O250" s="12">
        <f t="shared" si="9"/>
        <v>10</v>
      </c>
      <c r="P250" t="str">
        <f t="shared" si="11"/>
        <v>20244543</v>
      </c>
      <c r="Q250">
        <f t="shared" si="10"/>
        <v>8</v>
      </c>
      <c r="R250" s="21"/>
    </row>
    <row r="251" spans="1:18" x14ac:dyDescent="0.3">
      <c r="A251" s="14">
        <v>5575</v>
      </c>
      <c r="B251" s="8" t="s">
        <v>96</v>
      </c>
      <c r="C251" s="15">
        <v>20261950</v>
      </c>
      <c r="D251" s="16">
        <v>8698902619509</v>
      </c>
      <c r="E251" s="14" t="s">
        <v>717</v>
      </c>
      <c r="F251" s="17" t="s">
        <v>718</v>
      </c>
      <c r="G251" s="18">
        <v>1</v>
      </c>
      <c r="H251" s="19">
        <v>0</v>
      </c>
      <c r="I251" s="18">
        <v>0</v>
      </c>
      <c r="J251" s="8" t="s">
        <v>100</v>
      </c>
      <c r="K251" s="14">
        <v>4349</v>
      </c>
      <c r="L251" s="14" t="s">
        <v>693</v>
      </c>
      <c r="M251" s="20" t="s">
        <v>237</v>
      </c>
      <c r="N251" s="14" t="s">
        <v>103</v>
      </c>
      <c r="O251" s="12">
        <f t="shared" si="9"/>
        <v>10</v>
      </c>
      <c r="P251" t="str">
        <f t="shared" si="11"/>
        <v>20261950</v>
      </c>
      <c r="Q251">
        <f t="shared" si="10"/>
        <v>1</v>
      </c>
      <c r="R251" s="21"/>
    </row>
    <row r="252" spans="1:18" x14ac:dyDescent="0.3">
      <c r="A252" s="14">
        <v>7359</v>
      </c>
      <c r="B252" s="8" t="s">
        <v>96</v>
      </c>
      <c r="C252" s="15" t="s">
        <v>719</v>
      </c>
      <c r="D252" s="16">
        <v>8806097064190</v>
      </c>
      <c r="E252" s="14" t="s">
        <v>720</v>
      </c>
      <c r="F252" s="17" t="s">
        <v>721</v>
      </c>
      <c r="G252" s="18">
        <v>4</v>
      </c>
      <c r="H252" s="19">
        <v>4</v>
      </c>
      <c r="I252" s="18">
        <v>0</v>
      </c>
      <c r="J252" s="8" t="s">
        <v>100</v>
      </c>
      <c r="K252" s="14">
        <v>44299</v>
      </c>
      <c r="L252" s="14" t="s">
        <v>722</v>
      </c>
      <c r="M252" s="20" t="s">
        <v>114</v>
      </c>
      <c r="N252" s="14" t="s">
        <v>130</v>
      </c>
      <c r="O252" s="12">
        <f t="shared" si="9"/>
        <v>10</v>
      </c>
      <c r="P252" t="str">
        <f t="shared" si="11"/>
        <v>DV10DB844</v>
      </c>
      <c r="Q252">
        <f t="shared" si="10"/>
        <v>0</v>
      </c>
      <c r="R252" s="21"/>
    </row>
    <row r="253" spans="1:18" x14ac:dyDescent="0.3">
      <c r="A253" s="14">
        <v>7378</v>
      </c>
      <c r="B253" s="8" t="s">
        <v>96</v>
      </c>
      <c r="C253" s="15" t="s">
        <v>723</v>
      </c>
      <c r="D253" s="16">
        <v>8806097064206</v>
      </c>
      <c r="E253" s="14" t="s">
        <v>724</v>
      </c>
      <c r="F253" s="17" t="s">
        <v>725</v>
      </c>
      <c r="G253" s="18">
        <v>6</v>
      </c>
      <c r="H253" s="19">
        <v>5</v>
      </c>
      <c r="I253" s="18">
        <v>1</v>
      </c>
      <c r="J253" s="8" t="s">
        <v>100</v>
      </c>
      <c r="K253" s="14">
        <v>41999</v>
      </c>
      <c r="L253" s="14" t="s">
        <v>722</v>
      </c>
      <c r="M253" s="20" t="s">
        <v>114</v>
      </c>
      <c r="N253" s="14" t="s">
        <v>130</v>
      </c>
      <c r="O253" s="12">
        <f t="shared" si="9"/>
        <v>10</v>
      </c>
      <c r="P253" t="str">
        <f t="shared" si="11"/>
        <v>DV10DB844</v>
      </c>
      <c r="Q253">
        <f t="shared" si="10"/>
        <v>1</v>
      </c>
      <c r="R253" s="21"/>
    </row>
    <row r="254" spans="1:18" x14ac:dyDescent="0.3">
      <c r="A254" s="14">
        <v>6323</v>
      </c>
      <c r="B254" s="8" t="s">
        <v>96</v>
      </c>
      <c r="C254" s="15" t="s">
        <v>726</v>
      </c>
      <c r="D254" s="16">
        <v>8806094594416</v>
      </c>
      <c r="E254" s="14" t="s">
        <v>727</v>
      </c>
      <c r="F254" s="17" t="s">
        <v>728</v>
      </c>
      <c r="G254" s="18">
        <v>7</v>
      </c>
      <c r="H254" s="19">
        <v>4</v>
      </c>
      <c r="I254" s="18">
        <v>0</v>
      </c>
      <c r="J254" s="8" t="s">
        <v>100</v>
      </c>
      <c r="K254" s="14">
        <v>42299</v>
      </c>
      <c r="L254" s="14" t="s">
        <v>722</v>
      </c>
      <c r="M254" s="20" t="s">
        <v>114</v>
      </c>
      <c r="N254" s="14" t="s">
        <v>130</v>
      </c>
      <c r="O254" s="12">
        <f t="shared" si="9"/>
        <v>10</v>
      </c>
      <c r="P254" t="str">
        <f t="shared" si="11"/>
        <v>DV90BB524</v>
      </c>
      <c r="Q254">
        <f t="shared" si="10"/>
        <v>3</v>
      </c>
      <c r="R254" s="21"/>
    </row>
    <row r="255" spans="1:18" x14ac:dyDescent="0.3">
      <c r="A255" s="14">
        <v>6614</v>
      </c>
      <c r="B255" s="8" t="s">
        <v>96</v>
      </c>
      <c r="C255" s="15" t="s">
        <v>729</v>
      </c>
      <c r="D255" s="16">
        <v>8806095116624</v>
      </c>
      <c r="E255" s="14" t="s">
        <v>730</v>
      </c>
      <c r="F255" s="17" t="s">
        <v>731</v>
      </c>
      <c r="G255" s="18">
        <v>2</v>
      </c>
      <c r="H255" s="19">
        <v>0</v>
      </c>
      <c r="I255" s="18">
        <v>0</v>
      </c>
      <c r="J255" s="8" t="s">
        <v>100</v>
      </c>
      <c r="K255" s="14">
        <v>49099</v>
      </c>
      <c r="L255" s="14" t="s">
        <v>722</v>
      </c>
      <c r="M255" s="20" t="s">
        <v>114</v>
      </c>
      <c r="N255" s="14" t="s">
        <v>130</v>
      </c>
      <c r="O255" s="12">
        <f t="shared" si="9"/>
        <v>10</v>
      </c>
      <c r="P255" t="str">
        <f t="shared" si="11"/>
        <v>DV90BB944</v>
      </c>
      <c r="Q255">
        <f t="shared" si="10"/>
        <v>2</v>
      </c>
      <c r="R255" s="21"/>
    </row>
    <row r="256" spans="1:18" x14ac:dyDescent="0.3">
      <c r="A256" s="14">
        <v>6615</v>
      </c>
      <c r="B256" s="8" t="s">
        <v>96</v>
      </c>
      <c r="C256" s="15" t="s">
        <v>732</v>
      </c>
      <c r="D256" s="16">
        <v>8806095118581</v>
      </c>
      <c r="E256" s="14" t="s">
        <v>733</v>
      </c>
      <c r="F256" s="17" t="s">
        <v>734</v>
      </c>
      <c r="G256" s="18">
        <v>4</v>
      </c>
      <c r="H256" s="19">
        <v>2</v>
      </c>
      <c r="I256" s="18">
        <v>0</v>
      </c>
      <c r="J256" s="8" t="s">
        <v>100</v>
      </c>
      <c r="K256" s="14">
        <v>43899</v>
      </c>
      <c r="L256" s="14" t="s">
        <v>722</v>
      </c>
      <c r="M256" s="20" t="s">
        <v>114</v>
      </c>
      <c r="N256" s="14" t="s">
        <v>130</v>
      </c>
      <c r="O256" s="12">
        <f t="shared" si="9"/>
        <v>10</v>
      </c>
      <c r="P256" t="str">
        <f t="shared" si="11"/>
        <v>DV90BBA24</v>
      </c>
      <c r="Q256">
        <f t="shared" si="10"/>
        <v>2</v>
      </c>
      <c r="R256" s="21"/>
    </row>
    <row r="257" spans="1:18" x14ac:dyDescent="0.3">
      <c r="A257" s="14">
        <v>6757</v>
      </c>
      <c r="B257" s="8" t="s">
        <v>96</v>
      </c>
      <c r="C257" s="15" t="s">
        <v>735</v>
      </c>
      <c r="D257" s="16">
        <v>8806095218670</v>
      </c>
      <c r="E257" s="14" t="s">
        <v>736</v>
      </c>
      <c r="F257" s="17" t="s">
        <v>737</v>
      </c>
      <c r="G257" s="18">
        <v>1</v>
      </c>
      <c r="H257" s="19">
        <v>0</v>
      </c>
      <c r="I257" s="18">
        <v>1</v>
      </c>
      <c r="J257" s="8" t="s">
        <v>100</v>
      </c>
      <c r="K257" s="14">
        <v>37099</v>
      </c>
      <c r="L257" s="14" t="s">
        <v>722</v>
      </c>
      <c r="M257" s="20" t="s">
        <v>114</v>
      </c>
      <c r="N257" s="14" t="s">
        <v>130</v>
      </c>
      <c r="O257" s="12">
        <f t="shared" si="9"/>
        <v>10</v>
      </c>
      <c r="P257" t="str">
        <f t="shared" si="11"/>
        <v>DV90CGC0A</v>
      </c>
      <c r="Q257">
        <f t="shared" si="10"/>
        <v>1</v>
      </c>
      <c r="R257" s="21"/>
    </row>
    <row r="258" spans="1:18" x14ac:dyDescent="0.3">
      <c r="A258" s="14">
        <v>7360</v>
      </c>
      <c r="B258" s="8" t="s">
        <v>96</v>
      </c>
      <c r="C258" s="15" t="s">
        <v>738</v>
      </c>
      <c r="D258" s="16">
        <v>8806097064244</v>
      </c>
      <c r="E258" s="14" t="s">
        <v>739</v>
      </c>
      <c r="F258" s="17" t="s">
        <v>740</v>
      </c>
      <c r="G258" s="18">
        <v>2</v>
      </c>
      <c r="H258" s="19">
        <v>2</v>
      </c>
      <c r="I258" s="18">
        <v>0</v>
      </c>
      <c r="J258" s="8" t="s">
        <v>100</v>
      </c>
      <c r="K258" s="14">
        <v>35099</v>
      </c>
      <c r="L258" s="14" t="s">
        <v>722</v>
      </c>
      <c r="M258" s="20" t="s">
        <v>114</v>
      </c>
      <c r="N258" s="14" t="s">
        <v>130</v>
      </c>
      <c r="O258" s="12">
        <f t="shared" si="9"/>
        <v>10</v>
      </c>
      <c r="P258" t="str">
        <f t="shared" si="11"/>
        <v>DV90DG52A</v>
      </c>
      <c r="Q258">
        <f t="shared" si="10"/>
        <v>0</v>
      </c>
      <c r="R258" s="21"/>
    </row>
    <row r="259" spans="1:18" x14ac:dyDescent="0.3">
      <c r="A259" s="14">
        <v>7348</v>
      </c>
      <c r="B259" s="8" t="s">
        <v>96</v>
      </c>
      <c r="C259" s="15" t="s">
        <v>741</v>
      </c>
      <c r="D259" s="16">
        <v>8806097064237</v>
      </c>
      <c r="E259" s="14" t="s">
        <v>742</v>
      </c>
      <c r="F259" s="17" t="s">
        <v>743</v>
      </c>
      <c r="G259" s="18">
        <v>5</v>
      </c>
      <c r="H259" s="19">
        <v>5</v>
      </c>
      <c r="I259" s="18">
        <v>0</v>
      </c>
      <c r="J259" s="8" t="s">
        <v>100</v>
      </c>
      <c r="K259" s="14">
        <v>35649</v>
      </c>
      <c r="L259" s="14" t="s">
        <v>722</v>
      </c>
      <c r="M259" s="20" t="s">
        <v>114</v>
      </c>
      <c r="N259" s="14" t="s">
        <v>130</v>
      </c>
      <c r="O259" s="12">
        <f t="shared" ref="O259:O322" si="12">IF(C259&gt;0,10-COUNTIF(AM259:AW259,"-"),"")</f>
        <v>10</v>
      </c>
      <c r="P259" t="str">
        <f t="shared" si="11"/>
        <v>DV10DG644</v>
      </c>
      <c r="Q259">
        <f t="shared" ref="Q259:Q322" si="13">G259-H259</f>
        <v>0</v>
      </c>
      <c r="R259" s="21"/>
    </row>
    <row r="260" spans="1:18" x14ac:dyDescent="0.3">
      <c r="A260" s="14">
        <v>7430</v>
      </c>
      <c r="B260" s="8" t="s">
        <v>96</v>
      </c>
      <c r="C260" s="15" t="s">
        <v>744</v>
      </c>
      <c r="D260" s="16">
        <v>8806097340133</v>
      </c>
      <c r="E260" s="14" t="s">
        <v>745</v>
      </c>
      <c r="F260" s="17" t="s">
        <v>746</v>
      </c>
      <c r="G260" s="18">
        <v>4</v>
      </c>
      <c r="H260" s="19">
        <v>3</v>
      </c>
      <c r="I260" s="18">
        <v>0</v>
      </c>
      <c r="J260" s="8" t="s">
        <v>100</v>
      </c>
      <c r="K260" s="14">
        <v>32999</v>
      </c>
      <c r="L260" s="14" t="s">
        <v>722</v>
      </c>
      <c r="M260" s="20" t="s">
        <v>114</v>
      </c>
      <c r="N260" s="14" t="s">
        <v>130</v>
      </c>
      <c r="O260" s="12">
        <f t="shared" si="12"/>
        <v>10</v>
      </c>
      <c r="P260" t="str">
        <f t="shared" ref="P260:P323" si="14">IF(LEFT(C260,2)="SM",CONCATENATE(LEFT(C260,7),"✦",MID(C260,11,1)),LEFT(C260,9))</f>
        <v>DV90DG684</v>
      </c>
      <c r="Q260">
        <f t="shared" si="13"/>
        <v>1</v>
      </c>
      <c r="R260" s="21"/>
    </row>
    <row r="261" spans="1:18" x14ac:dyDescent="0.3">
      <c r="A261" s="14">
        <v>7432</v>
      </c>
      <c r="B261" s="8" t="s">
        <v>96</v>
      </c>
      <c r="C261" s="15" t="s">
        <v>747</v>
      </c>
      <c r="D261" s="16">
        <v>8806097340140</v>
      </c>
      <c r="E261" s="14" t="s">
        <v>748</v>
      </c>
      <c r="F261" s="17" t="s">
        <v>749</v>
      </c>
      <c r="G261" s="18">
        <v>3</v>
      </c>
      <c r="H261" s="19">
        <v>0</v>
      </c>
      <c r="I261" s="18">
        <v>2</v>
      </c>
      <c r="J261" s="8" t="s">
        <v>100</v>
      </c>
      <c r="K261" s="14">
        <v>34999</v>
      </c>
      <c r="L261" s="14" t="s">
        <v>722</v>
      </c>
      <c r="M261" s="20" t="s">
        <v>114</v>
      </c>
      <c r="N261" s="14" t="s">
        <v>130</v>
      </c>
      <c r="O261" s="12">
        <f t="shared" si="12"/>
        <v>10</v>
      </c>
      <c r="P261" t="str">
        <f t="shared" si="14"/>
        <v>DV90DG684</v>
      </c>
      <c r="Q261">
        <f t="shared" si="13"/>
        <v>3</v>
      </c>
      <c r="R261" s="21"/>
    </row>
    <row r="262" spans="1:18" x14ac:dyDescent="0.3">
      <c r="A262" s="14">
        <v>6798</v>
      </c>
      <c r="B262" s="8" t="s">
        <v>96</v>
      </c>
      <c r="C262" s="15">
        <v>20267481</v>
      </c>
      <c r="D262" s="16">
        <v>8698902674812</v>
      </c>
      <c r="E262" s="14" t="s">
        <v>750</v>
      </c>
      <c r="F262" s="17" t="s">
        <v>751</v>
      </c>
      <c r="G262" s="18">
        <v>1</v>
      </c>
      <c r="H262" s="19">
        <v>1</v>
      </c>
      <c r="I262" s="18">
        <v>0</v>
      </c>
      <c r="J262" s="8" t="s">
        <v>100</v>
      </c>
      <c r="K262" s="14">
        <v>34799</v>
      </c>
      <c r="L262" s="14" t="s">
        <v>722</v>
      </c>
      <c r="M262" s="20" t="s">
        <v>237</v>
      </c>
      <c r="N262" s="14" t="s">
        <v>130</v>
      </c>
      <c r="O262" s="12">
        <f t="shared" si="12"/>
        <v>10</v>
      </c>
      <c r="P262" t="str">
        <f t="shared" si="14"/>
        <v>20267481</v>
      </c>
      <c r="Q262">
        <f t="shared" si="13"/>
        <v>0</v>
      </c>
      <c r="R262" s="21"/>
    </row>
    <row r="263" spans="1:18" x14ac:dyDescent="0.3">
      <c r="A263" s="14">
        <v>6947</v>
      </c>
      <c r="B263" s="8" t="s">
        <v>96</v>
      </c>
      <c r="C263" s="15">
        <v>20265362</v>
      </c>
      <c r="D263" s="16">
        <v>8698902653626</v>
      </c>
      <c r="E263" s="14" t="s">
        <v>752</v>
      </c>
      <c r="F263" s="17" t="s">
        <v>753</v>
      </c>
      <c r="G263" s="18">
        <v>1</v>
      </c>
      <c r="H263" s="19">
        <v>1</v>
      </c>
      <c r="I263" s="18">
        <v>0</v>
      </c>
      <c r="J263" s="8" t="s">
        <v>100</v>
      </c>
      <c r="K263" s="14">
        <v>39949</v>
      </c>
      <c r="L263" s="14" t="s">
        <v>722</v>
      </c>
      <c r="M263" s="20" t="s">
        <v>237</v>
      </c>
      <c r="N263" s="14" t="s">
        <v>130</v>
      </c>
      <c r="O263" s="12">
        <f t="shared" si="12"/>
        <v>10</v>
      </c>
      <c r="P263" t="str">
        <f t="shared" si="14"/>
        <v>20265362</v>
      </c>
      <c r="Q263">
        <f t="shared" si="13"/>
        <v>0</v>
      </c>
      <c r="R263" s="21"/>
    </row>
    <row r="264" spans="1:18" x14ac:dyDescent="0.3">
      <c r="A264" s="14">
        <v>6899</v>
      </c>
      <c r="B264" s="8" t="s">
        <v>96</v>
      </c>
      <c r="C264" s="15">
        <v>20267479</v>
      </c>
      <c r="D264" s="16">
        <v>8698902674799</v>
      </c>
      <c r="E264" s="14" t="s">
        <v>754</v>
      </c>
      <c r="F264" s="17" t="s">
        <v>755</v>
      </c>
      <c r="G264" s="18">
        <v>5</v>
      </c>
      <c r="H264" s="19">
        <v>5</v>
      </c>
      <c r="I264" s="18">
        <v>0</v>
      </c>
      <c r="J264" s="8" t="s">
        <v>100</v>
      </c>
      <c r="K264" s="14">
        <v>37799</v>
      </c>
      <c r="L264" s="14" t="s">
        <v>722</v>
      </c>
      <c r="M264" s="20" t="s">
        <v>237</v>
      </c>
      <c r="N264" s="14" t="s">
        <v>130</v>
      </c>
      <c r="O264" s="12">
        <f t="shared" si="12"/>
        <v>10</v>
      </c>
      <c r="P264" t="str">
        <f t="shared" si="14"/>
        <v>20267479</v>
      </c>
      <c r="Q264">
        <f t="shared" si="13"/>
        <v>0</v>
      </c>
      <c r="R264" s="21"/>
    </row>
    <row r="265" spans="1:18" x14ac:dyDescent="0.3">
      <c r="A265" s="14">
        <v>6881</v>
      </c>
      <c r="B265" s="8" t="s">
        <v>96</v>
      </c>
      <c r="C265" s="15">
        <v>20267483</v>
      </c>
      <c r="D265" s="16">
        <v>8698902674836</v>
      </c>
      <c r="E265" s="14" t="s">
        <v>756</v>
      </c>
      <c r="F265" s="17" t="s">
        <v>757</v>
      </c>
      <c r="G265" s="18">
        <v>2</v>
      </c>
      <c r="H265" s="19">
        <v>2</v>
      </c>
      <c r="I265" s="18">
        <v>0</v>
      </c>
      <c r="J265" s="8" t="s">
        <v>100</v>
      </c>
      <c r="K265" s="14">
        <v>33049</v>
      </c>
      <c r="L265" s="14" t="s">
        <v>722</v>
      </c>
      <c r="M265" s="20" t="s">
        <v>237</v>
      </c>
      <c r="N265" s="14" t="s">
        <v>130</v>
      </c>
      <c r="O265" s="12">
        <f t="shared" si="12"/>
        <v>10</v>
      </c>
      <c r="P265" t="str">
        <f t="shared" si="14"/>
        <v>20267483</v>
      </c>
      <c r="Q265">
        <f t="shared" si="13"/>
        <v>0</v>
      </c>
      <c r="R265" s="21"/>
    </row>
    <row r="266" spans="1:18" x14ac:dyDescent="0.3">
      <c r="A266" s="14">
        <v>6944</v>
      </c>
      <c r="B266" s="8" t="s">
        <v>96</v>
      </c>
      <c r="C266" s="15">
        <v>20265300</v>
      </c>
      <c r="D266" s="16">
        <v>8698902653008</v>
      </c>
      <c r="E266" s="14" t="s">
        <v>758</v>
      </c>
      <c r="F266" s="17" t="s">
        <v>759</v>
      </c>
      <c r="G266" s="18">
        <v>2</v>
      </c>
      <c r="H266" s="19">
        <v>2</v>
      </c>
      <c r="I266" s="18">
        <v>0</v>
      </c>
      <c r="J266" s="8" t="s">
        <v>100</v>
      </c>
      <c r="K266" s="14">
        <v>32499</v>
      </c>
      <c r="L266" s="14" t="s">
        <v>722</v>
      </c>
      <c r="M266" s="20" t="s">
        <v>237</v>
      </c>
      <c r="N266" s="14" t="s">
        <v>130</v>
      </c>
      <c r="O266" s="12">
        <f t="shared" si="12"/>
        <v>10</v>
      </c>
      <c r="P266" t="str">
        <f t="shared" si="14"/>
        <v>20265300</v>
      </c>
      <c r="Q266">
        <f t="shared" si="13"/>
        <v>0</v>
      </c>
      <c r="R266" s="21"/>
    </row>
    <row r="267" spans="1:18" x14ac:dyDescent="0.3">
      <c r="A267" s="14">
        <v>6882</v>
      </c>
      <c r="B267" s="8" t="s">
        <v>96</v>
      </c>
      <c r="C267" s="15">
        <v>20265299</v>
      </c>
      <c r="D267" s="16">
        <v>8698902652995</v>
      </c>
      <c r="E267" s="14" t="s">
        <v>760</v>
      </c>
      <c r="F267" s="17" t="s">
        <v>761</v>
      </c>
      <c r="G267" s="18">
        <v>7</v>
      </c>
      <c r="H267" s="19">
        <v>5</v>
      </c>
      <c r="I267" s="18">
        <v>2</v>
      </c>
      <c r="J267" s="8" t="s">
        <v>100</v>
      </c>
      <c r="K267" s="14">
        <v>30199</v>
      </c>
      <c r="L267" s="14" t="s">
        <v>722</v>
      </c>
      <c r="M267" s="20" t="s">
        <v>237</v>
      </c>
      <c r="N267" s="14" t="s">
        <v>130</v>
      </c>
      <c r="O267" s="12">
        <f t="shared" si="12"/>
        <v>10</v>
      </c>
      <c r="P267" t="str">
        <f t="shared" si="14"/>
        <v>20265299</v>
      </c>
      <c r="Q267">
        <f t="shared" si="13"/>
        <v>2</v>
      </c>
      <c r="R267" s="21"/>
    </row>
    <row r="268" spans="1:18" x14ac:dyDescent="0.3">
      <c r="A268" s="14">
        <v>5639</v>
      </c>
      <c r="B268" s="8" t="s">
        <v>96</v>
      </c>
      <c r="C268" s="15">
        <v>20263189</v>
      </c>
      <c r="D268" s="16">
        <v>8698902631891</v>
      </c>
      <c r="E268" s="14" t="s">
        <v>762</v>
      </c>
      <c r="F268" s="17" t="s">
        <v>763</v>
      </c>
      <c r="G268" s="18">
        <v>1</v>
      </c>
      <c r="H268" s="19">
        <v>1</v>
      </c>
      <c r="I268" s="18">
        <v>0</v>
      </c>
      <c r="J268" s="8" t="s">
        <v>100</v>
      </c>
      <c r="K268" s="14">
        <v>41399</v>
      </c>
      <c r="L268" s="14" t="s">
        <v>722</v>
      </c>
      <c r="M268" s="20" t="s">
        <v>237</v>
      </c>
      <c r="N268" s="14" t="s">
        <v>130</v>
      </c>
      <c r="O268" s="12">
        <f t="shared" si="12"/>
        <v>10</v>
      </c>
      <c r="P268" t="str">
        <f t="shared" si="14"/>
        <v>20263189</v>
      </c>
      <c r="Q268">
        <f t="shared" si="13"/>
        <v>0</v>
      </c>
      <c r="R268" s="21"/>
    </row>
    <row r="269" spans="1:18" x14ac:dyDescent="0.3">
      <c r="A269" s="14">
        <v>6277</v>
      </c>
      <c r="B269" s="8" t="s">
        <v>96</v>
      </c>
      <c r="C269" s="15" t="s">
        <v>764</v>
      </c>
      <c r="D269" s="16">
        <v>8806094613452</v>
      </c>
      <c r="E269" s="14" t="s">
        <v>765</v>
      </c>
      <c r="F269" s="17" t="s">
        <v>766</v>
      </c>
      <c r="G269" s="18">
        <v>3</v>
      </c>
      <c r="H269" s="19">
        <v>1</v>
      </c>
      <c r="I269" s="18">
        <v>0</v>
      </c>
      <c r="J269" s="8" t="s">
        <v>100</v>
      </c>
      <c r="K269" s="14">
        <v>36599</v>
      </c>
      <c r="L269" s="14" t="s">
        <v>767</v>
      </c>
      <c r="M269" s="20" t="s">
        <v>114</v>
      </c>
      <c r="N269" s="14" t="s">
        <v>130</v>
      </c>
      <c r="O269" s="12">
        <f t="shared" si="12"/>
        <v>10</v>
      </c>
      <c r="P269" t="str">
        <f t="shared" si="14"/>
        <v>WW11BBA04</v>
      </c>
      <c r="Q269">
        <f t="shared" si="13"/>
        <v>2</v>
      </c>
      <c r="R269" s="21"/>
    </row>
    <row r="270" spans="1:18" x14ac:dyDescent="0.3">
      <c r="A270" s="14">
        <v>7431</v>
      </c>
      <c r="B270" s="8" t="s">
        <v>96</v>
      </c>
      <c r="C270" s="15" t="s">
        <v>768</v>
      </c>
      <c r="D270" s="16">
        <v>8806095993911</v>
      </c>
      <c r="E270" s="14" t="s">
        <v>769</v>
      </c>
      <c r="F270" s="17" t="s">
        <v>770</v>
      </c>
      <c r="G270" s="18">
        <v>1</v>
      </c>
      <c r="H270" s="19">
        <v>1</v>
      </c>
      <c r="I270" s="18">
        <v>0</v>
      </c>
      <c r="J270" s="8" t="s">
        <v>100</v>
      </c>
      <c r="K270" s="14">
        <v>44999</v>
      </c>
      <c r="L270" s="14" t="s">
        <v>767</v>
      </c>
      <c r="M270" s="20" t="s">
        <v>114</v>
      </c>
      <c r="N270" s="14" t="s">
        <v>130</v>
      </c>
      <c r="O270" s="12">
        <f t="shared" si="12"/>
        <v>10</v>
      </c>
      <c r="P270" t="str">
        <f t="shared" si="14"/>
        <v>WW11DB7B3</v>
      </c>
      <c r="Q270">
        <f t="shared" si="13"/>
        <v>0</v>
      </c>
      <c r="R270" s="21"/>
    </row>
    <row r="271" spans="1:18" x14ac:dyDescent="0.3">
      <c r="A271" s="14">
        <v>7515</v>
      </c>
      <c r="B271" s="8" t="s">
        <v>96</v>
      </c>
      <c r="C271" s="15" t="s">
        <v>771</v>
      </c>
      <c r="D271" s="16">
        <v>8806095993928</v>
      </c>
      <c r="E271" s="14" t="s">
        <v>772</v>
      </c>
      <c r="F271" s="17" t="s">
        <v>773</v>
      </c>
      <c r="G271" s="18">
        <v>4</v>
      </c>
      <c r="H271" s="19">
        <v>3</v>
      </c>
      <c r="I271" s="18">
        <v>0</v>
      </c>
      <c r="J271" s="8" t="s">
        <v>100</v>
      </c>
      <c r="L271" s="14" t="s">
        <v>767</v>
      </c>
      <c r="M271" s="20" t="s">
        <v>114</v>
      </c>
      <c r="N271" s="14" t="s">
        <v>130</v>
      </c>
      <c r="O271" s="12">
        <f t="shared" si="12"/>
        <v>10</v>
      </c>
      <c r="P271" t="str">
        <f t="shared" si="14"/>
        <v>WW11DB7B3</v>
      </c>
      <c r="Q271">
        <f t="shared" si="13"/>
        <v>1</v>
      </c>
      <c r="R271" s="21"/>
    </row>
    <row r="272" spans="1:18" x14ac:dyDescent="0.3">
      <c r="A272" s="14">
        <v>7286</v>
      </c>
      <c r="B272" s="8" t="s">
        <v>96</v>
      </c>
      <c r="C272" s="15" t="s">
        <v>774</v>
      </c>
      <c r="D272" s="16">
        <v>8806095993935</v>
      </c>
      <c r="E272" s="14" t="s">
        <v>775</v>
      </c>
      <c r="F272" s="17" t="s">
        <v>776</v>
      </c>
      <c r="G272" s="18">
        <v>4</v>
      </c>
      <c r="H272" s="19">
        <v>2</v>
      </c>
      <c r="I272" s="18">
        <v>0</v>
      </c>
      <c r="J272" s="8" t="s">
        <v>100</v>
      </c>
      <c r="K272" s="14">
        <v>44999</v>
      </c>
      <c r="L272" s="14" t="s">
        <v>767</v>
      </c>
      <c r="M272" s="20" t="s">
        <v>114</v>
      </c>
      <c r="N272" s="14" t="s">
        <v>130</v>
      </c>
      <c r="O272" s="12">
        <f t="shared" si="12"/>
        <v>10</v>
      </c>
      <c r="P272" t="str">
        <f t="shared" si="14"/>
        <v>WW11DB8B9</v>
      </c>
      <c r="Q272">
        <f t="shared" si="13"/>
        <v>2</v>
      </c>
      <c r="R272" s="21"/>
    </row>
    <row r="273" spans="1:18" x14ac:dyDescent="0.3">
      <c r="A273" s="14">
        <v>7335</v>
      </c>
      <c r="B273" s="8" t="s">
        <v>96</v>
      </c>
      <c r="C273" s="15" t="s">
        <v>777</v>
      </c>
      <c r="D273" s="16">
        <v>8806095993942</v>
      </c>
      <c r="E273" s="14" t="s">
        <v>778</v>
      </c>
      <c r="F273" s="17" t="s">
        <v>779</v>
      </c>
      <c r="G273" s="18">
        <v>10</v>
      </c>
      <c r="H273" s="19">
        <v>8</v>
      </c>
      <c r="I273" s="18">
        <v>1</v>
      </c>
      <c r="J273" s="8" t="s">
        <v>100</v>
      </c>
      <c r="K273" s="14">
        <v>42999</v>
      </c>
      <c r="L273" s="14" t="s">
        <v>767</v>
      </c>
      <c r="M273" s="20" t="s">
        <v>114</v>
      </c>
      <c r="N273" s="14" t="s">
        <v>130</v>
      </c>
      <c r="O273" s="12">
        <f t="shared" si="12"/>
        <v>10</v>
      </c>
      <c r="P273" t="str">
        <f t="shared" si="14"/>
        <v>WW11DB8B9</v>
      </c>
      <c r="Q273">
        <f t="shared" si="13"/>
        <v>2</v>
      </c>
      <c r="R273" s="21"/>
    </row>
    <row r="274" spans="1:18" x14ac:dyDescent="0.3">
      <c r="A274" s="14">
        <v>7301</v>
      </c>
      <c r="B274" s="8" t="s">
        <v>96</v>
      </c>
      <c r="C274" s="15" t="s">
        <v>780</v>
      </c>
      <c r="D274" s="16">
        <v>8806095993973</v>
      </c>
      <c r="E274" s="14" t="s">
        <v>781</v>
      </c>
      <c r="F274" s="17" t="s">
        <v>782</v>
      </c>
      <c r="G274" s="18">
        <v>6</v>
      </c>
      <c r="H274" s="19">
        <v>5</v>
      </c>
      <c r="I274" s="18">
        <v>0</v>
      </c>
      <c r="J274" s="8" t="s">
        <v>100</v>
      </c>
      <c r="K274" s="14">
        <v>39999</v>
      </c>
      <c r="L274" s="14" t="s">
        <v>767</v>
      </c>
      <c r="M274" s="20" t="s">
        <v>114</v>
      </c>
      <c r="N274" s="14" t="s">
        <v>130</v>
      </c>
      <c r="O274" s="12">
        <f t="shared" si="12"/>
        <v>10</v>
      </c>
      <c r="P274" t="str">
        <f t="shared" si="14"/>
        <v>WW11DG6B2</v>
      </c>
      <c r="Q274">
        <f t="shared" si="13"/>
        <v>1</v>
      </c>
      <c r="R274" s="21"/>
    </row>
    <row r="275" spans="1:18" x14ac:dyDescent="0.3">
      <c r="A275" s="14">
        <v>7362</v>
      </c>
      <c r="B275" s="8" t="s">
        <v>96</v>
      </c>
      <c r="C275" s="15" t="s">
        <v>783</v>
      </c>
      <c r="D275" s="16">
        <v>8806095993980</v>
      </c>
      <c r="E275" s="14" t="s">
        <v>784</v>
      </c>
      <c r="F275" s="17" t="s">
        <v>785</v>
      </c>
      <c r="G275" s="18">
        <v>26</v>
      </c>
      <c r="H275" s="19">
        <v>24</v>
      </c>
      <c r="I275" s="18">
        <v>1</v>
      </c>
      <c r="J275" s="8" t="s">
        <v>100</v>
      </c>
      <c r="K275" s="14">
        <v>34499</v>
      </c>
      <c r="L275" s="14" t="s">
        <v>767</v>
      </c>
      <c r="M275" s="20" t="s">
        <v>114</v>
      </c>
      <c r="N275" s="14" t="s">
        <v>130</v>
      </c>
      <c r="O275" s="12">
        <f t="shared" si="12"/>
        <v>10</v>
      </c>
      <c r="P275" t="str">
        <f t="shared" si="14"/>
        <v>WW11DG6B2</v>
      </c>
      <c r="Q275">
        <f t="shared" si="13"/>
        <v>2</v>
      </c>
      <c r="R275" s="21"/>
    </row>
    <row r="276" spans="1:18" x14ac:dyDescent="0.3">
      <c r="A276" s="14">
        <v>6793</v>
      </c>
      <c r="B276" s="8" t="s">
        <v>96</v>
      </c>
      <c r="C276" s="15" t="s">
        <v>786</v>
      </c>
      <c r="D276" s="16">
        <v>8806095216324</v>
      </c>
      <c r="E276" s="14" t="s">
        <v>787</v>
      </c>
      <c r="F276" s="17" t="s">
        <v>788</v>
      </c>
      <c r="G276" s="18">
        <v>2</v>
      </c>
      <c r="H276" s="19">
        <v>0</v>
      </c>
      <c r="I276" s="18">
        <v>0</v>
      </c>
      <c r="J276" s="8" t="s">
        <v>100</v>
      </c>
      <c r="K276" s="14">
        <v>33599</v>
      </c>
      <c r="L276" s="14" t="s">
        <v>767</v>
      </c>
      <c r="M276" s="20" t="s">
        <v>114</v>
      </c>
      <c r="N276" s="14" t="s">
        <v>130</v>
      </c>
      <c r="O276" s="12">
        <f t="shared" si="12"/>
        <v>10</v>
      </c>
      <c r="P276" t="str">
        <f t="shared" si="14"/>
        <v>WW90CGC04</v>
      </c>
      <c r="Q276">
        <f t="shared" si="13"/>
        <v>2</v>
      </c>
      <c r="R276" s="21"/>
    </row>
    <row r="277" spans="1:18" x14ac:dyDescent="0.3">
      <c r="A277" s="14">
        <v>7290</v>
      </c>
      <c r="B277" s="8" t="s">
        <v>96</v>
      </c>
      <c r="C277" s="15" t="s">
        <v>789</v>
      </c>
      <c r="D277" s="16">
        <v>8806095993997</v>
      </c>
      <c r="E277" s="14" t="s">
        <v>790</v>
      </c>
      <c r="F277" s="17" t="s">
        <v>791</v>
      </c>
      <c r="G277" s="18">
        <v>19</v>
      </c>
      <c r="H277" s="19">
        <v>18</v>
      </c>
      <c r="I277" s="18">
        <v>0</v>
      </c>
      <c r="J277" s="8" t="s">
        <v>100</v>
      </c>
      <c r="K277" s="14">
        <v>35999</v>
      </c>
      <c r="L277" s="14" t="s">
        <v>767</v>
      </c>
      <c r="M277" s="20" t="s">
        <v>114</v>
      </c>
      <c r="N277" s="14" t="s">
        <v>130</v>
      </c>
      <c r="O277" s="12">
        <f t="shared" si="12"/>
        <v>10</v>
      </c>
      <c r="P277" t="str">
        <f t="shared" si="14"/>
        <v>WW90DG6U2</v>
      </c>
      <c r="Q277">
        <f t="shared" si="13"/>
        <v>1</v>
      </c>
      <c r="R277" s="21"/>
    </row>
    <row r="278" spans="1:18" x14ac:dyDescent="0.3">
      <c r="A278" s="14">
        <v>7291</v>
      </c>
      <c r="B278" s="8" t="s">
        <v>96</v>
      </c>
      <c r="C278" s="15" t="s">
        <v>792</v>
      </c>
      <c r="D278" s="16">
        <v>8806095994000</v>
      </c>
      <c r="E278" s="14" t="s">
        <v>793</v>
      </c>
      <c r="F278" s="17" t="s">
        <v>794</v>
      </c>
      <c r="G278" s="18">
        <v>16</v>
      </c>
      <c r="H278" s="19">
        <v>13</v>
      </c>
      <c r="I278" s="18">
        <v>3</v>
      </c>
      <c r="J278" s="8" t="s">
        <v>100</v>
      </c>
      <c r="K278" s="14">
        <v>29049</v>
      </c>
      <c r="L278" s="14" t="s">
        <v>767</v>
      </c>
      <c r="M278" s="20" t="s">
        <v>114</v>
      </c>
      <c r="N278" s="14" t="s">
        <v>130</v>
      </c>
      <c r="O278" s="12">
        <f t="shared" si="12"/>
        <v>10</v>
      </c>
      <c r="P278" t="str">
        <f t="shared" si="14"/>
        <v>WW90DG6U2</v>
      </c>
      <c r="Q278">
        <f t="shared" si="13"/>
        <v>3</v>
      </c>
      <c r="R278" s="21"/>
    </row>
    <row r="279" spans="1:18" x14ac:dyDescent="0.3">
      <c r="A279" s="14">
        <v>7514</v>
      </c>
      <c r="B279" s="8" t="s">
        <v>96</v>
      </c>
      <c r="C279" s="15" t="s">
        <v>795</v>
      </c>
      <c r="D279" s="16">
        <v>8806097015970</v>
      </c>
      <c r="E279" s="14" t="s">
        <v>796</v>
      </c>
      <c r="F279" s="17" t="s">
        <v>797</v>
      </c>
      <c r="G279" s="18">
        <v>4</v>
      </c>
      <c r="H279" s="19">
        <v>4</v>
      </c>
      <c r="I279" s="18">
        <v>0</v>
      </c>
      <c r="J279" s="8" t="s">
        <v>100</v>
      </c>
      <c r="K279" s="14">
        <v>29999</v>
      </c>
      <c r="L279" s="14" t="s">
        <v>767</v>
      </c>
      <c r="M279" s="20" t="s">
        <v>114</v>
      </c>
      <c r="N279" s="14" t="s">
        <v>130</v>
      </c>
      <c r="O279" s="12">
        <f t="shared" si="12"/>
        <v>10</v>
      </c>
      <c r="P279" t="str">
        <f t="shared" si="14"/>
        <v>WW90FG3M0</v>
      </c>
      <c r="Q279">
        <f t="shared" si="13"/>
        <v>0</v>
      </c>
      <c r="R279" s="21"/>
    </row>
    <row r="280" spans="1:18" x14ac:dyDescent="0.3">
      <c r="A280" s="14">
        <v>6758</v>
      </c>
      <c r="B280" s="8" t="s">
        <v>96</v>
      </c>
      <c r="C280" s="15" t="s">
        <v>798</v>
      </c>
      <c r="D280" s="16">
        <v>8806095251080</v>
      </c>
      <c r="E280" s="14" t="s">
        <v>799</v>
      </c>
      <c r="F280" s="17" t="s">
        <v>800</v>
      </c>
      <c r="G280" s="18">
        <v>4</v>
      </c>
      <c r="H280" s="19">
        <v>0</v>
      </c>
      <c r="I280" s="18">
        <v>0</v>
      </c>
      <c r="J280" s="8" t="s">
        <v>100</v>
      </c>
      <c r="K280" s="14">
        <v>5599</v>
      </c>
      <c r="L280" s="14" t="s">
        <v>801</v>
      </c>
      <c r="M280" s="20" t="s">
        <v>114</v>
      </c>
      <c r="N280" s="14" t="s">
        <v>130</v>
      </c>
      <c r="O280" s="12">
        <f t="shared" si="12"/>
        <v>10</v>
      </c>
      <c r="P280" t="str">
        <f t="shared" si="14"/>
        <v>FT-MF/AH</v>
      </c>
      <c r="Q280">
        <f t="shared" si="13"/>
        <v>4</v>
      </c>
      <c r="R280" s="21"/>
    </row>
    <row r="281" spans="1:18" x14ac:dyDescent="0.3">
      <c r="A281" s="14">
        <v>7255</v>
      </c>
      <c r="B281" s="8" t="s">
        <v>96</v>
      </c>
      <c r="C281" s="15" t="s">
        <v>802</v>
      </c>
      <c r="D281" s="16">
        <v>8806095669458</v>
      </c>
      <c r="E281" s="14" t="s">
        <v>803</v>
      </c>
      <c r="F281" s="17" t="s">
        <v>804</v>
      </c>
      <c r="G281" s="18">
        <v>3</v>
      </c>
      <c r="H281" s="19">
        <v>1</v>
      </c>
      <c r="I281" s="18">
        <v>0</v>
      </c>
      <c r="J281" s="8" t="s">
        <v>100</v>
      </c>
      <c r="K281" s="14">
        <v>58649</v>
      </c>
      <c r="L281" s="14" t="s">
        <v>767</v>
      </c>
      <c r="M281" s="20" t="s">
        <v>114</v>
      </c>
      <c r="N281" s="14" t="s">
        <v>130</v>
      </c>
      <c r="O281" s="12">
        <f t="shared" si="12"/>
        <v>10</v>
      </c>
      <c r="P281" t="str">
        <f t="shared" si="14"/>
        <v>WD11DB8B8</v>
      </c>
      <c r="Q281">
        <f t="shared" si="13"/>
        <v>2</v>
      </c>
      <c r="R281" s="21"/>
    </row>
    <row r="282" spans="1:18" x14ac:dyDescent="0.3">
      <c r="A282" s="14">
        <v>7261</v>
      </c>
      <c r="B282" s="8" t="s">
        <v>96</v>
      </c>
      <c r="C282" s="15" t="s">
        <v>805</v>
      </c>
      <c r="D282" s="16">
        <v>8806095669465</v>
      </c>
      <c r="E282" s="14" t="s">
        <v>806</v>
      </c>
      <c r="F282" s="17" t="s">
        <v>807</v>
      </c>
      <c r="G282" s="18">
        <v>3</v>
      </c>
      <c r="H282" s="19">
        <v>3</v>
      </c>
      <c r="I282" s="18">
        <v>0</v>
      </c>
      <c r="J282" s="8" t="s">
        <v>100</v>
      </c>
      <c r="K282" s="14">
        <v>54349</v>
      </c>
      <c r="L282" s="14" t="s">
        <v>767</v>
      </c>
      <c r="M282" s="20" t="s">
        <v>114</v>
      </c>
      <c r="N282" s="14" t="s">
        <v>130</v>
      </c>
      <c r="O282" s="12">
        <f t="shared" si="12"/>
        <v>10</v>
      </c>
      <c r="P282" t="str">
        <f t="shared" si="14"/>
        <v>WD11DG5B1</v>
      </c>
      <c r="Q282">
        <f t="shared" si="13"/>
        <v>0</v>
      </c>
      <c r="R282" s="21"/>
    </row>
    <row r="283" spans="1:18" x14ac:dyDescent="0.3">
      <c r="A283" s="14">
        <v>7182</v>
      </c>
      <c r="B283" s="8" t="s">
        <v>96</v>
      </c>
      <c r="C283" s="15" t="s">
        <v>808</v>
      </c>
      <c r="D283" s="16">
        <v>8806095669472</v>
      </c>
      <c r="E283" s="14" t="s">
        <v>809</v>
      </c>
      <c r="F283" s="17" t="s">
        <v>810</v>
      </c>
      <c r="G283" s="18">
        <v>3</v>
      </c>
      <c r="H283" s="19">
        <v>2</v>
      </c>
      <c r="I283" s="18">
        <v>0</v>
      </c>
      <c r="J283" s="8" t="s">
        <v>100</v>
      </c>
      <c r="K283" s="14">
        <v>52299</v>
      </c>
      <c r="L283" s="14" t="s">
        <v>767</v>
      </c>
      <c r="M283" s="20" t="s">
        <v>114</v>
      </c>
      <c r="N283" s="14" t="s">
        <v>130</v>
      </c>
      <c r="O283" s="12">
        <f t="shared" si="12"/>
        <v>10</v>
      </c>
      <c r="P283" t="str">
        <f t="shared" si="14"/>
        <v>WD11DG5B1</v>
      </c>
      <c r="Q283">
        <f t="shared" si="13"/>
        <v>1</v>
      </c>
      <c r="R283" s="21"/>
    </row>
    <row r="284" spans="1:18" x14ac:dyDescent="0.3">
      <c r="A284" s="14">
        <v>5963</v>
      </c>
      <c r="B284" s="8" t="s">
        <v>96</v>
      </c>
      <c r="C284" s="15" t="s">
        <v>811</v>
      </c>
      <c r="D284" s="16">
        <v>8806092276956</v>
      </c>
      <c r="E284" s="14" t="s">
        <v>812</v>
      </c>
      <c r="F284" s="17" t="s">
        <v>813</v>
      </c>
      <c r="G284" s="18">
        <v>1</v>
      </c>
      <c r="H284" s="19">
        <v>0</v>
      </c>
      <c r="I284" s="18">
        <v>1</v>
      </c>
      <c r="J284" s="8" t="s">
        <v>100</v>
      </c>
      <c r="K284" s="14">
        <v>48149</v>
      </c>
      <c r="L284" s="14" t="s">
        <v>767</v>
      </c>
      <c r="M284" s="20" t="s">
        <v>114</v>
      </c>
      <c r="N284" s="14" t="s">
        <v>130</v>
      </c>
      <c r="O284" s="12">
        <f t="shared" si="12"/>
        <v>10</v>
      </c>
      <c r="P284" t="str">
        <f t="shared" si="14"/>
        <v>WD90T654D</v>
      </c>
      <c r="Q284">
        <f t="shared" si="13"/>
        <v>1</v>
      </c>
      <c r="R284" s="21"/>
    </row>
    <row r="285" spans="1:18" x14ac:dyDescent="0.3">
      <c r="A285" s="14">
        <v>7257</v>
      </c>
      <c r="B285" s="8" t="s">
        <v>96</v>
      </c>
      <c r="C285" s="15" t="s">
        <v>814</v>
      </c>
      <c r="D285" s="16">
        <v>8806095802152</v>
      </c>
      <c r="E285" s="14" t="s">
        <v>815</v>
      </c>
      <c r="F285" s="17" t="s">
        <v>816</v>
      </c>
      <c r="G285" s="18">
        <v>2</v>
      </c>
      <c r="H285" s="19">
        <v>1</v>
      </c>
      <c r="I285" s="18">
        <v>0</v>
      </c>
      <c r="J285" s="8" t="s">
        <v>100</v>
      </c>
      <c r="K285" s="14">
        <v>116449</v>
      </c>
      <c r="L285" s="14" t="s">
        <v>767</v>
      </c>
      <c r="M285" s="20" t="s">
        <v>114</v>
      </c>
      <c r="N285" s="14" t="s">
        <v>130</v>
      </c>
      <c r="O285" s="12">
        <f t="shared" si="12"/>
        <v>10</v>
      </c>
      <c r="P285" t="str">
        <f t="shared" si="14"/>
        <v>WD18DB899</v>
      </c>
      <c r="Q285">
        <f t="shared" si="13"/>
        <v>1</v>
      </c>
      <c r="R285" s="21"/>
    </row>
    <row r="286" spans="1:18" x14ac:dyDescent="0.3">
      <c r="A286" s="14">
        <v>6897</v>
      </c>
      <c r="B286" s="8" t="s">
        <v>96</v>
      </c>
      <c r="C286" s="15">
        <v>20265385</v>
      </c>
      <c r="D286" s="16">
        <v>8698902653855</v>
      </c>
      <c r="E286" s="14" t="s">
        <v>817</v>
      </c>
      <c r="F286" s="17" t="s">
        <v>818</v>
      </c>
      <c r="G286" s="18">
        <v>9</v>
      </c>
      <c r="H286" s="19">
        <v>7</v>
      </c>
      <c r="I286" s="18">
        <v>1</v>
      </c>
      <c r="J286" s="8" t="s">
        <v>100</v>
      </c>
      <c r="K286" s="14">
        <v>30449</v>
      </c>
      <c r="L286" s="14" t="s">
        <v>767</v>
      </c>
      <c r="M286" s="20" t="s">
        <v>237</v>
      </c>
      <c r="N286" s="14" t="s">
        <v>130</v>
      </c>
      <c r="O286" s="12">
        <f t="shared" si="12"/>
        <v>10</v>
      </c>
      <c r="P286" t="str">
        <f t="shared" si="14"/>
        <v>20265385</v>
      </c>
      <c r="Q286">
        <f t="shared" si="13"/>
        <v>2</v>
      </c>
      <c r="R286" s="21"/>
    </row>
    <row r="287" spans="1:18" x14ac:dyDescent="0.3">
      <c r="A287" s="14">
        <v>6468</v>
      </c>
      <c r="B287" s="8" t="s">
        <v>96</v>
      </c>
      <c r="C287" s="15">
        <v>20264673</v>
      </c>
      <c r="D287" s="16">
        <v>8698902646734</v>
      </c>
      <c r="E287" s="14" t="s">
        <v>819</v>
      </c>
      <c r="F287" s="17" t="s">
        <v>820</v>
      </c>
      <c r="G287" s="18">
        <v>1</v>
      </c>
      <c r="H287" s="19">
        <v>1</v>
      </c>
      <c r="I287" s="18">
        <v>0</v>
      </c>
      <c r="J287" s="8" t="s">
        <v>100</v>
      </c>
      <c r="K287" s="14">
        <v>38099</v>
      </c>
      <c r="L287" s="14" t="s">
        <v>767</v>
      </c>
      <c r="M287" s="20" t="s">
        <v>237</v>
      </c>
      <c r="N287" s="14" t="s">
        <v>130</v>
      </c>
      <c r="O287" s="12">
        <f t="shared" si="12"/>
        <v>10</v>
      </c>
      <c r="P287" t="str">
        <f t="shared" si="14"/>
        <v>20264673</v>
      </c>
      <c r="Q287">
        <f t="shared" si="13"/>
        <v>0</v>
      </c>
      <c r="R287" s="21"/>
    </row>
    <row r="288" spans="1:18" x14ac:dyDescent="0.3">
      <c r="A288" s="14">
        <v>6815</v>
      </c>
      <c r="B288" s="8" t="s">
        <v>96</v>
      </c>
      <c r="C288" s="15">
        <v>20265384</v>
      </c>
      <c r="D288" s="16">
        <v>8698902653848</v>
      </c>
      <c r="E288" s="14" t="s">
        <v>821</v>
      </c>
      <c r="F288" s="17" t="s">
        <v>822</v>
      </c>
      <c r="G288" s="18">
        <v>12</v>
      </c>
      <c r="H288" s="19">
        <v>11</v>
      </c>
      <c r="I288" s="18">
        <v>0</v>
      </c>
      <c r="J288" s="8" t="s">
        <v>100</v>
      </c>
      <c r="K288" s="14">
        <v>31899</v>
      </c>
      <c r="L288" s="14" t="s">
        <v>767</v>
      </c>
      <c r="M288" s="20" t="s">
        <v>237</v>
      </c>
      <c r="N288" s="14" t="s">
        <v>130</v>
      </c>
      <c r="O288" s="12">
        <f t="shared" si="12"/>
        <v>10</v>
      </c>
      <c r="P288" t="str">
        <f t="shared" si="14"/>
        <v>20265384</v>
      </c>
      <c r="Q288">
        <f t="shared" si="13"/>
        <v>1</v>
      </c>
      <c r="R288" s="21"/>
    </row>
    <row r="289" spans="1:18" x14ac:dyDescent="0.3">
      <c r="A289" s="14">
        <v>5672</v>
      </c>
      <c r="B289" s="8" t="s">
        <v>96</v>
      </c>
      <c r="C289" s="15">
        <v>20263222</v>
      </c>
      <c r="D289" s="16">
        <v>8698902632225</v>
      </c>
      <c r="E289" s="14" t="s">
        <v>823</v>
      </c>
      <c r="F289" s="17" t="s">
        <v>824</v>
      </c>
      <c r="G289" s="18">
        <v>2</v>
      </c>
      <c r="H289" s="19">
        <v>2</v>
      </c>
      <c r="I289" s="18">
        <v>0</v>
      </c>
      <c r="J289" s="8" t="s">
        <v>100</v>
      </c>
      <c r="K289" s="14">
        <v>36799</v>
      </c>
      <c r="L289" s="14" t="s">
        <v>767</v>
      </c>
      <c r="M289" s="20" t="s">
        <v>237</v>
      </c>
      <c r="N289" s="14" t="s">
        <v>130</v>
      </c>
      <c r="O289" s="12">
        <f t="shared" si="12"/>
        <v>10</v>
      </c>
      <c r="P289" t="str">
        <f t="shared" si="14"/>
        <v>20263222</v>
      </c>
      <c r="Q289">
        <f t="shared" si="13"/>
        <v>0</v>
      </c>
      <c r="R289" s="21"/>
    </row>
    <row r="290" spans="1:18" x14ac:dyDescent="0.3">
      <c r="A290" s="14">
        <v>6926</v>
      </c>
      <c r="B290" s="8" t="s">
        <v>96</v>
      </c>
      <c r="C290" s="15">
        <v>20265383</v>
      </c>
      <c r="D290" s="16">
        <v>8698902653831</v>
      </c>
      <c r="E290" s="14" t="s">
        <v>825</v>
      </c>
      <c r="F290" s="17" t="s">
        <v>826</v>
      </c>
      <c r="G290" s="18">
        <v>4</v>
      </c>
      <c r="H290" s="19">
        <v>2</v>
      </c>
      <c r="I290" s="18">
        <v>0</v>
      </c>
      <c r="J290" s="8" t="s">
        <v>100</v>
      </c>
      <c r="K290" s="14">
        <v>35899</v>
      </c>
      <c r="L290" s="14" t="s">
        <v>767</v>
      </c>
      <c r="M290" s="20" t="s">
        <v>237</v>
      </c>
      <c r="N290" s="14" t="s">
        <v>130</v>
      </c>
      <c r="O290" s="12">
        <f t="shared" si="12"/>
        <v>10</v>
      </c>
      <c r="P290" t="str">
        <f t="shared" si="14"/>
        <v>20265383</v>
      </c>
      <c r="Q290">
        <f t="shared" si="13"/>
        <v>2</v>
      </c>
      <c r="R290" s="21"/>
    </row>
    <row r="291" spans="1:18" x14ac:dyDescent="0.3">
      <c r="A291" s="14">
        <v>5574</v>
      </c>
      <c r="B291" s="8" t="s">
        <v>96</v>
      </c>
      <c r="C291" s="15">
        <v>20263178</v>
      </c>
      <c r="D291" s="16">
        <v>8698902631785</v>
      </c>
      <c r="E291" s="14" t="s">
        <v>827</v>
      </c>
      <c r="F291" s="17" t="s">
        <v>828</v>
      </c>
      <c r="G291" s="18">
        <v>1</v>
      </c>
      <c r="H291" s="19">
        <v>0</v>
      </c>
      <c r="I291" s="18">
        <v>0</v>
      </c>
      <c r="J291" s="8" t="s">
        <v>100</v>
      </c>
      <c r="K291" s="14">
        <v>26449</v>
      </c>
      <c r="L291" s="14" t="s">
        <v>767</v>
      </c>
      <c r="M291" s="20" t="s">
        <v>237</v>
      </c>
      <c r="N291" s="14" t="s">
        <v>130</v>
      </c>
      <c r="O291" s="12">
        <f t="shared" si="12"/>
        <v>10</v>
      </c>
      <c r="P291" t="str">
        <f t="shared" si="14"/>
        <v>20263178</v>
      </c>
      <c r="Q291">
        <f t="shared" si="13"/>
        <v>1</v>
      </c>
      <c r="R291" s="21"/>
    </row>
    <row r="292" spans="1:18" x14ac:dyDescent="0.3">
      <c r="A292" s="14">
        <v>6195</v>
      </c>
      <c r="B292" s="8" t="s">
        <v>96</v>
      </c>
      <c r="C292" s="15">
        <v>20264685</v>
      </c>
      <c r="D292" s="16">
        <v>8698902646857</v>
      </c>
      <c r="E292" s="14" t="s">
        <v>829</v>
      </c>
      <c r="F292" s="17" t="s">
        <v>830</v>
      </c>
      <c r="G292" s="18">
        <v>3</v>
      </c>
      <c r="H292" s="19">
        <v>3</v>
      </c>
      <c r="I292" s="18">
        <v>0</v>
      </c>
      <c r="J292" s="8" t="s">
        <v>100</v>
      </c>
      <c r="K292" s="14">
        <v>26449</v>
      </c>
      <c r="L292" s="14" t="s">
        <v>767</v>
      </c>
      <c r="M292" s="20" t="s">
        <v>237</v>
      </c>
      <c r="N292" s="14" t="s">
        <v>130</v>
      </c>
      <c r="O292" s="12">
        <f t="shared" si="12"/>
        <v>10</v>
      </c>
      <c r="P292" t="str">
        <f t="shared" si="14"/>
        <v>20264685</v>
      </c>
      <c r="Q292">
        <f t="shared" si="13"/>
        <v>0</v>
      </c>
      <c r="R292" s="21"/>
    </row>
    <row r="293" spans="1:18" x14ac:dyDescent="0.3">
      <c r="A293" s="14">
        <v>6813</v>
      </c>
      <c r="B293" s="8" t="s">
        <v>96</v>
      </c>
      <c r="C293" s="15">
        <v>20265394</v>
      </c>
      <c r="D293" s="16">
        <v>8698902653947</v>
      </c>
      <c r="E293" s="14" t="s">
        <v>831</v>
      </c>
      <c r="F293" s="17" t="s">
        <v>832</v>
      </c>
      <c r="G293" s="18">
        <v>7</v>
      </c>
      <c r="H293" s="19">
        <v>7</v>
      </c>
      <c r="I293" s="18">
        <v>0</v>
      </c>
      <c r="J293" s="8" t="s">
        <v>100</v>
      </c>
      <c r="K293" s="14">
        <v>25599</v>
      </c>
      <c r="L293" s="14" t="s">
        <v>767</v>
      </c>
      <c r="M293" s="20" t="s">
        <v>237</v>
      </c>
      <c r="N293" s="14" t="s">
        <v>130</v>
      </c>
      <c r="O293" s="12">
        <f t="shared" si="12"/>
        <v>10</v>
      </c>
      <c r="P293" t="str">
        <f t="shared" si="14"/>
        <v>20265394</v>
      </c>
      <c r="Q293">
        <f t="shared" si="13"/>
        <v>0</v>
      </c>
      <c r="R293" s="21"/>
    </row>
    <row r="294" spans="1:18" x14ac:dyDescent="0.3">
      <c r="A294" s="14">
        <v>2075</v>
      </c>
      <c r="B294" s="8" t="s">
        <v>96</v>
      </c>
      <c r="C294" s="15">
        <v>20217471</v>
      </c>
      <c r="D294" s="16">
        <v>8698902174718</v>
      </c>
      <c r="E294" s="14" t="s">
        <v>833</v>
      </c>
      <c r="F294" s="17" t="s">
        <v>834</v>
      </c>
      <c r="G294" s="18">
        <v>1</v>
      </c>
      <c r="H294" s="19">
        <v>0</v>
      </c>
      <c r="I294" s="18">
        <v>0</v>
      </c>
      <c r="J294" s="8" t="s">
        <v>100</v>
      </c>
      <c r="K294" s="14">
        <v>9699</v>
      </c>
      <c r="L294" s="14" t="s">
        <v>767</v>
      </c>
      <c r="M294" s="20" t="s">
        <v>237</v>
      </c>
      <c r="N294" s="14" t="s">
        <v>130</v>
      </c>
      <c r="O294" s="12">
        <f t="shared" si="12"/>
        <v>10</v>
      </c>
      <c r="P294" t="str">
        <f t="shared" si="14"/>
        <v>20217471</v>
      </c>
      <c r="Q294">
        <f t="shared" si="13"/>
        <v>1</v>
      </c>
      <c r="R294" s="21"/>
    </row>
    <row r="295" spans="1:18" x14ac:dyDescent="0.3">
      <c r="A295" s="14">
        <v>5638</v>
      </c>
      <c r="B295" s="8" t="s">
        <v>96</v>
      </c>
      <c r="C295" s="15">
        <v>20263218</v>
      </c>
      <c r="D295" s="16">
        <v>8698902632188</v>
      </c>
      <c r="E295" s="14" t="s">
        <v>835</v>
      </c>
      <c r="F295" s="17" t="s">
        <v>836</v>
      </c>
      <c r="G295" s="18">
        <v>3</v>
      </c>
      <c r="H295" s="19">
        <v>2</v>
      </c>
      <c r="I295" s="18">
        <v>0</v>
      </c>
      <c r="J295" s="8" t="s">
        <v>100</v>
      </c>
      <c r="K295" s="14">
        <v>28149</v>
      </c>
      <c r="L295" s="14" t="s">
        <v>767</v>
      </c>
      <c r="M295" s="20" t="s">
        <v>237</v>
      </c>
      <c r="N295" s="14" t="s">
        <v>130</v>
      </c>
      <c r="O295" s="12">
        <f t="shared" si="12"/>
        <v>10</v>
      </c>
      <c r="P295" t="str">
        <f t="shared" si="14"/>
        <v>20263218</v>
      </c>
      <c r="Q295">
        <f t="shared" si="13"/>
        <v>1</v>
      </c>
      <c r="R295" s="21"/>
    </row>
    <row r="296" spans="1:18" x14ac:dyDescent="0.3">
      <c r="A296" s="14">
        <v>6979</v>
      </c>
      <c r="B296" s="8" t="s">
        <v>96</v>
      </c>
      <c r="C296" s="15">
        <v>20265388</v>
      </c>
      <c r="D296" s="16">
        <v>8698902653886</v>
      </c>
      <c r="E296" s="14" t="s">
        <v>837</v>
      </c>
      <c r="F296" s="17" t="s">
        <v>838</v>
      </c>
      <c r="G296" s="18">
        <v>14</v>
      </c>
      <c r="H296" s="19">
        <v>14</v>
      </c>
      <c r="I296" s="18">
        <v>0</v>
      </c>
      <c r="J296" s="8" t="s">
        <v>100</v>
      </c>
      <c r="K296" s="14">
        <v>28449</v>
      </c>
      <c r="L296" s="14" t="s">
        <v>767</v>
      </c>
      <c r="M296" s="20" t="s">
        <v>237</v>
      </c>
      <c r="N296" s="14" t="s">
        <v>130</v>
      </c>
      <c r="O296" s="12">
        <f t="shared" si="12"/>
        <v>10</v>
      </c>
      <c r="P296" t="str">
        <f t="shared" si="14"/>
        <v>20265388</v>
      </c>
      <c r="Q296">
        <f t="shared" si="13"/>
        <v>0</v>
      </c>
      <c r="R296" s="21"/>
    </row>
    <row r="297" spans="1:18" x14ac:dyDescent="0.3">
      <c r="A297" s="14">
        <v>6250</v>
      </c>
      <c r="B297" s="8" t="s">
        <v>96</v>
      </c>
      <c r="C297" s="15">
        <v>20264681</v>
      </c>
      <c r="D297" s="16">
        <v>8698902646819</v>
      </c>
      <c r="E297" s="14" t="s">
        <v>839</v>
      </c>
      <c r="F297" s="17" t="s">
        <v>840</v>
      </c>
      <c r="G297" s="18">
        <v>1</v>
      </c>
      <c r="H297" s="19">
        <v>0</v>
      </c>
      <c r="I297" s="18">
        <v>0</v>
      </c>
      <c r="J297" s="8" t="s">
        <v>100</v>
      </c>
      <c r="K297" s="14">
        <v>29599</v>
      </c>
      <c r="L297" s="14" t="s">
        <v>767</v>
      </c>
      <c r="M297" s="20" t="s">
        <v>237</v>
      </c>
      <c r="N297" s="14" t="s">
        <v>130</v>
      </c>
      <c r="O297" s="12">
        <f t="shared" si="12"/>
        <v>10</v>
      </c>
      <c r="P297" t="str">
        <f t="shared" si="14"/>
        <v>20264681</v>
      </c>
      <c r="Q297">
        <f t="shared" si="13"/>
        <v>1</v>
      </c>
      <c r="R297" s="21"/>
    </row>
    <row r="298" spans="1:18" x14ac:dyDescent="0.3">
      <c r="A298" s="14">
        <v>6713</v>
      </c>
      <c r="B298" s="8" t="s">
        <v>96</v>
      </c>
      <c r="C298" s="15">
        <v>20265390</v>
      </c>
      <c r="D298" s="16">
        <v>8698902653909</v>
      </c>
      <c r="E298" s="14" t="s">
        <v>841</v>
      </c>
      <c r="F298" s="17" t="s">
        <v>842</v>
      </c>
      <c r="G298" s="18">
        <v>13</v>
      </c>
      <c r="H298" s="19">
        <v>11</v>
      </c>
      <c r="I298" s="18">
        <v>0</v>
      </c>
      <c r="J298" s="8" t="s">
        <v>100</v>
      </c>
      <c r="K298" s="14">
        <v>29049</v>
      </c>
      <c r="L298" s="14" t="s">
        <v>767</v>
      </c>
      <c r="M298" s="20" t="s">
        <v>237</v>
      </c>
      <c r="N298" s="14" t="s">
        <v>130</v>
      </c>
      <c r="O298" s="12">
        <f t="shared" si="12"/>
        <v>10</v>
      </c>
      <c r="P298" t="str">
        <f t="shared" si="14"/>
        <v>20265390</v>
      </c>
      <c r="Q298">
        <f t="shared" si="13"/>
        <v>2</v>
      </c>
      <c r="R298" s="21"/>
    </row>
    <row r="299" spans="1:18" x14ac:dyDescent="0.3">
      <c r="A299" s="14">
        <v>5675</v>
      </c>
      <c r="B299" s="8" t="s">
        <v>96</v>
      </c>
      <c r="C299" s="15">
        <v>20263220</v>
      </c>
      <c r="D299" s="16">
        <v>8698902632201</v>
      </c>
      <c r="E299" s="14" t="s">
        <v>843</v>
      </c>
      <c r="F299" s="17" t="s">
        <v>844</v>
      </c>
      <c r="G299" s="22">
        <v>1</v>
      </c>
      <c r="H299" s="19">
        <v>0</v>
      </c>
      <c r="I299" s="18">
        <v>0</v>
      </c>
      <c r="J299" s="8" t="s">
        <v>100</v>
      </c>
      <c r="K299" s="14">
        <v>36599</v>
      </c>
      <c r="L299" s="14" t="s">
        <v>767</v>
      </c>
      <c r="M299" s="20" t="s">
        <v>237</v>
      </c>
      <c r="N299" s="14" t="s">
        <v>130</v>
      </c>
      <c r="O299" s="12">
        <f t="shared" si="12"/>
        <v>10</v>
      </c>
      <c r="P299" t="str">
        <f t="shared" si="14"/>
        <v>20263220</v>
      </c>
      <c r="Q299">
        <f t="shared" si="13"/>
        <v>1</v>
      </c>
      <c r="R299" s="21"/>
    </row>
    <row r="300" spans="1:18" x14ac:dyDescent="0.3">
      <c r="A300" s="14">
        <v>6631</v>
      </c>
      <c r="B300" s="8" t="s">
        <v>96</v>
      </c>
      <c r="C300" s="15">
        <v>20264678</v>
      </c>
      <c r="D300" s="16">
        <v>8698902646789</v>
      </c>
      <c r="E300" s="14" t="s">
        <v>845</v>
      </c>
      <c r="F300" s="17" t="s">
        <v>846</v>
      </c>
      <c r="G300" s="18">
        <v>1</v>
      </c>
      <c r="H300" s="19">
        <v>0</v>
      </c>
      <c r="I300" s="18">
        <v>0</v>
      </c>
      <c r="J300" s="8" t="s">
        <v>100</v>
      </c>
      <c r="K300" s="14">
        <v>25299</v>
      </c>
      <c r="L300" s="14" t="s">
        <v>767</v>
      </c>
      <c r="M300" s="20" t="s">
        <v>237</v>
      </c>
      <c r="N300" s="14" t="s">
        <v>130</v>
      </c>
      <c r="O300" s="12">
        <f t="shared" si="12"/>
        <v>10</v>
      </c>
      <c r="P300" t="str">
        <f t="shared" si="14"/>
        <v>20264678</v>
      </c>
      <c r="Q300">
        <f t="shared" si="13"/>
        <v>1</v>
      </c>
      <c r="R300" s="21"/>
    </row>
    <row r="301" spans="1:18" x14ac:dyDescent="0.3">
      <c r="A301" s="14">
        <v>6799</v>
      </c>
      <c r="B301" s="8" t="s">
        <v>96</v>
      </c>
      <c r="C301" s="15">
        <v>20265387</v>
      </c>
      <c r="D301" s="16">
        <v>8698902653879</v>
      </c>
      <c r="E301" s="14" t="s">
        <v>847</v>
      </c>
      <c r="F301" s="17" t="s">
        <v>848</v>
      </c>
      <c r="G301" s="18">
        <v>19</v>
      </c>
      <c r="H301" s="19">
        <v>18</v>
      </c>
      <c r="I301" s="18">
        <v>1</v>
      </c>
      <c r="J301" s="8" t="s">
        <v>100</v>
      </c>
      <c r="K301" s="14">
        <v>29599</v>
      </c>
      <c r="L301" s="14" t="s">
        <v>767</v>
      </c>
      <c r="M301" s="20" t="s">
        <v>237</v>
      </c>
      <c r="N301" s="14" t="s">
        <v>130</v>
      </c>
      <c r="O301" s="12">
        <f t="shared" si="12"/>
        <v>10</v>
      </c>
      <c r="P301" t="str">
        <f t="shared" si="14"/>
        <v>20265387</v>
      </c>
      <c r="Q301">
        <f t="shared" si="13"/>
        <v>1</v>
      </c>
      <c r="R301" s="21"/>
    </row>
    <row r="302" spans="1:18" x14ac:dyDescent="0.3">
      <c r="A302" s="14">
        <v>6251</v>
      </c>
      <c r="B302" s="8" t="s">
        <v>96</v>
      </c>
      <c r="C302" s="15">
        <v>20264902</v>
      </c>
      <c r="D302" s="16">
        <v>8698902649025</v>
      </c>
      <c r="E302" s="14" t="s">
        <v>849</v>
      </c>
      <c r="F302" s="17" t="s">
        <v>850</v>
      </c>
      <c r="G302" s="18">
        <v>3</v>
      </c>
      <c r="H302" s="19">
        <v>3</v>
      </c>
      <c r="I302" s="18">
        <v>0</v>
      </c>
      <c r="J302" s="8" t="s">
        <v>100</v>
      </c>
      <c r="K302" s="14">
        <v>31899</v>
      </c>
      <c r="L302" s="14" t="s">
        <v>767</v>
      </c>
      <c r="M302" s="20" t="s">
        <v>237</v>
      </c>
      <c r="N302" s="14" t="s">
        <v>130</v>
      </c>
      <c r="O302" s="12">
        <f t="shared" si="12"/>
        <v>10</v>
      </c>
      <c r="P302" t="str">
        <f t="shared" si="14"/>
        <v>20264902</v>
      </c>
      <c r="Q302">
        <f t="shared" si="13"/>
        <v>0</v>
      </c>
      <c r="R302" s="21"/>
    </row>
    <row r="303" spans="1:18" x14ac:dyDescent="0.3">
      <c r="A303" s="14">
        <v>7141</v>
      </c>
      <c r="B303" s="8" t="s">
        <v>96</v>
      </c>
      <c r="C303" s="15">
        <v>20265391</v>
      </c>
      <c r="D303" s="16">
        <v>8698902653916</v>
      </c>
      <c r="E303" s="14" t="s">
        <v>851</v>
      </c>
      <c r="F303" s="17" t="s">
        <v>852</v>
      </c>
      <c r="G303" s="18">
        <v>21</v>
      </c>
      <c r="H303" s="19">
        <v>20</v>
      </c>
      <c r="I303" s="18">
        <v>0</v>
      </c>
      <c r="J303" s="8" t="s">
        <v>100</v>
      </c>
      <c r="K303" s="14">
        <v>26999</v>
      </c>
      <c r="L303" s="14" t="s">
        <v>767</v>
      </c>
      <c r="M303" s="20" t="s">
        <v>237</v>
      </c>
      <c r="N303" s="14" t="s">
        <v>130</v>
      </c>
      <c r="O303" s="12">
        <f t="shared" si="12"/>
        <v>10</v>
      </c>
      <c r="P303" t="str">
        <f t="shared" si="14"/>
        <v>20265391</v>
      </c>
      <c r="Q303">
        <f t="shared" si="13"/>
        <v>1</v>
      </c>
      <c r="R303" s="21"/>
    </row>
    <row r="304" spans="1:18" x14ac:dyDescent="0.3">
      <c r="A304" s="14">
        <v>7191</v>
      </c>
      <c r="B304" s="8" t="s">
        <v>96</v>
      </c>
      <c r="C304" s="15">
        <v>20269373</v>
      </c>
      <c r="D304" s="16">
        <v>8698902693738</v>
      </c>
      <c r="E304" s="14" t="s">
        <v>853</v>
      </c>
      <c r="F304" s="17" t="s">
        <v>854</v>
      </c>
      <c r="G304" s="18">
        <v>1</v>
      </c>
      <c r="H304" s="19">
        <v>0</v>
      </c>
      <c r="I304" s="18">
        <v>0</v>
      </c>
      <c r="J304" s="8" t="s">
        <v>100</v>
      </c>
      <c r="K304" s="14">
        <v>29299</v>
      </c>
      <c r="L304" s="14" t="s">
        <v>767</v>
      </c>
      <c r="M304" s="20" t="s">
        <v>237</v>
      </c>
      <c r="N304" s="14" t="s">
        <v>130</v>
      </c>
      <c r="O304" s="12">
        <f t="shared" si="12"/>
        <v>10</v>
      </c>
      <c r="P304" t="str">
        <f t="shared" si="14"/>
        <v>20269373</v>
      </c>
      <c r="Q304">
        <f t="shared" si="13"/>
        <v>1</v>
      </c>
      <c r="R304" s="21"/>
    </row>
    <row r="305" spans="1:18" x14ac:dyDescent="0.3">
      <c r="A305" s="14">
        <v>6763</v>
      </c>
      <c r="B305" s="8" t="s">
        <v>96</v>
      </c>
      <c r="C305" s="15">
        <v>20265389</v>
      </c>
      <c r="D305" s="16">
        <v>8698902653893</v>
      </c>
      <c r="E305" s="14" t="s">
        <v>855</v>
      </c>
      <c r="F305" s="17" t="s">
        <v>856</v>
      </c>
      <c r="G305" s="18">
        <v>2</v>
      </c>
      <c r="H305" s="19">
        <v>1</v>
      </c>
      <c r="I305" s="18">
        <v>0</v>
      </c>
      <c r="J305" s="8" t="s">
        <v>100</v>
      </c>
      <c r="K305" s="14">
        <v>29599</v>
      </c>
      <c r="L305" s="14" t="s">
        <v>767</v>
      </c>
      <c r="M305" s="20" t="s">
        <v>237</v>
      </c>
      <c r="N305" s="14" t="s">
        <v>130</v>
      </c>
      <c r="O305" s="12">
        <f t="shared" si="12"/>
        <v>10</v>
      </c>
      <c r="P305" t="str">
        <f t="shared" si="14"/>
        <v>20265389</v>
      </c>
      <c r="Q305">
        <f t="shared" si="13"/>
        <v>1</v>
      </c>
      <c r="R305" s="21"/>
    </row>
    <row r="306" spans="1:18" x14ac:dyDescent="0.3">
      <c r="A306" s="14">
        <v>7051</v>
      </c>
      <c r="B306" s="8" t="s">
        <v>96</v>
      </c>
      <c r="C306" s="15" t="s">
        <v>55</v>
      </c>
      <c r="D306" s="16">
        <v>8806095493121</v>
      </c>
      <c r="E306" s="14" t="s">
        <v>857</v>
      </c>
      <c r="F306" s="17" t="s">
        <v>858</v>
      </c>
      <c r="G306" s="18">
        <v>3</v>
      </c>
      <c r="H306" s="19">
        <v>0</v>
      </c>
      <c r="I306" s="18">
        <v>0</v>
      </c>
      <c r="J306" s="8" t="s">
        <v>100</v>
      </c>
      <c r="K306" s="14">
        <v>10599</v>
      </c>
      <c r="L306" s="14" t="s">
        <v>859</v>
      </c>
      <c r="M306" s="20" t="s">
        <v>114</v>
      </c>
      <c r="N306" s="14" t="s">
        <v>230</v>
      </c>
      <c r="O306" s="12">
        <f t="shared" si="12"/>
        <v>10</v>
      </c>
      <c r="P306" t="str">
        <f t="shared" si="14"/>
        <v>HW-B650D/</v>
      </c>
      <c r="Q306">
        <f t="shared" si="13"/>
        <v>3</v>
      </c>
      <c r="R306" s="21"/>
    </row>
    <row r="307" spans="1:18" x14ac:dyDescent="0.3">
      <c r="A307" s="14">
        <v>7200</v>
      </c>
      <c r="B307" s="8" t="s">
        <v>96</v>
      </c>
      <c r="C307" s="15" t="s">
        <v>51</v>
      </c>
      <c r="D307" s="16">
        <v>8806094885804</v>
      </c>
      <c r="E307" s="14" t="s">
        <v>860</v>
      </c>
      <c r="F307" s="17" t="s">
        <v>861</v>
      </c>
      <c r="G307" s="18">
        <v>1</v>
      </c>
      <c r="I307" s="18">
        <v>0</v>
      </c>
      <c r="J307" s="8" t="s">
        <v>100</v>
      </c>
      <c r="K307" s="14">
        <v>3599</v>
      </c>
      <c r="L307" s="14" t="s">
        <v>859</v>
      </c>
      <c r="M307" s="20" t="s">
        <v>114</v>
      </c>
      <c r="N307" s="14" t="s">
        <v>230</v>
      </c>
      <c r="O307" s="12">
        <f t="shared" si="12"/>
        <v>10</v>
      </c>
      <c r="P307" t="str">
        <f t="shared" si="14"/>
        <v>HW-C400/T</v>
      </c>
      <c r="Q307">
        <f t="shared" si="13"/>
        <v>1</v>
      </c>
      <c r="R307" s="21"/>
    </row>
    <row r="308" spans="1:18" x14ac:dyDescent="0.3">
      <c r="A308" s="14">
        <v>6532</v>
      </c>
      <c r="B308" s="8" t="s">
        <v>96</v>
      </c>
      <c r="C308" s="15" t="s">
        <v>52</v>
      </c>
      <c r="D308" s="16">
        <v>8806094906806</v>
      </c>
      <c r="E308" s="14" t="s">
        <v>862</v>
      </c>
      <c r="F308" s="17" t="s">
        <v>863</v>
      </c>
      <c r="G308" s="18">
        <v>1</v>
      </c>
      <c r="H308" s="19">
        <v>0</v>
      </c>
      <c r="I308" s="18">
        <v>0</v>
      </c>
      <c r="J308" s="8" t="s">
        <v>100</v>
      </c>
      <c r="K308" s="14">
        <v>6299</v>
      </c>
      <c r="L308" s="14" t="s">
        <v>859</v>
      </c>
      <c r="M308" s="20" t="s">
        <v>114</v>
      </c>
      <c r="N308" s="14" t="s">
        <v>230</v>
      </c>
      <c r="O308" s="12">
        <f t="shared" si="12"/>
        <v>10</v>
      </c>
      <c r="P308" t="str">
        <f t="shared" si="14"/>
        <v>HW-C450/T</v>
      </c>
      <c r="Q308">
        <f t="shared" si="13"/>
        <v>1</v>
      </c>
      <c r="R308" s="21"/>
    </row>
    <row r="309" spans="1:18" x14ac:dyDescent="0.3">
      <c r="A309" s="14">
        <v>7053</v>
      </c>
      <c r="B309" s="8" t="s">
        <v>96</v>
      </c>
      <c r="C309" s="15" t="s">
        <v>57</v>
      </c>
      <c r="D309" s="16">
        <v>8806095456973</v>
      </c>
      <c r="E309" s="14" t="s">
        <v>864</v>
      </c>
      <c r="F309" s="17" t="s">
        <v>865</v>
      </c>
      <c r="G309" s="18">
        <v>1</v>
      </c>
      <c r="H309" s="19">
        <v>0</v>
      </c>
      <c r="I309" s="18">
        <v>0</v>
      </c>
      <c r="J309" s="8" t="s">
        <v>100</v>
      </c>
      <c r="K309" s="14">
        <v>47199</v>
      </c>
      <c r="L309" s="14" t="s">
        <v>859</v>
      </c>
      <c r="M309" s="20" t="s">
        <v>114</v>
      </c>
      <c r="N309" s="14" t="s">
        <v>230</v>
      </c>
      <c r="O309" s="12">
        <f t="shared" si="12"/>
        <v>10</v>
      </c>
      <c r="P309" t="str">
        <f t="shared" si="14"/>
        <v>HW-Q990D/</v>
      </c>
      <c r="Q309">
        <f t="shared" si="13"/>
        <v>1</v>
      </c>
      <c r="R309" s="21"/>
    </row>
    <row r="310" spans="1:18" x14ac:dyDescent="0.3">
      <c r="A310" s="14">
        <v>7052</v>
      </c>
      <c r="B310" s="8" t="s">
        <v>96</v>
      </c>
      <c r="C310" s="15" t="s">
        <v>56</v>
      </c>
      <c r="D310" s="16">
        <v>8806095474908</v>
      </c>
      <c r="E310" s="14" t="s">
        <v>866</v>
      </c>
      <c r="F310" s="17" t="s">
        <v>867</v>
      </c>
      <c r="G310" s="18">
        <v>2</v>
      </c>
      <c r="H310" s="19">
        <v>0</v>
      </c>
      <c r="I310" s="18">
        <v>0</v>
      </c>
      <c r="J310" s="8" t="s">
        <v>100</v>
      </c>
      <c r="K310" s="14">
        <v>23399</v>
      </c>
      <c r="L310" s="14" t="s">
        <v>859</v>
      </c>
      <c r="M310" s="20" t="s">
        <v>114</v>
      </c>
      <c r="N310" s="14" t="s">
        <v>230</v>
      </c>
      <c r="O310" s="12">
        <f t="shared" si="12"/>
        <v>10</v>
      </c>
      <c r="P310" t="str">
        <f t="shared" si="14"/>
        <v>HW-Q800D/</v>
      </c>
      <c r="Q310">
        <f t="shared" si="13"/>
        <v>2</v>
      </c>
      <c r="R310" s="21"/>
    </row>
    <row r="311" spans="1:18" x14ac:dyDescent="0.3">
      <c r="A311" s="14">
        <v>7282</v>
      </c>
      <c r="B311" s="8" t="s">
        <v>96</v>
      </c>
      <c r="C311" s="15" t="s">
        <v>868</v>
      </c>
      <c r="D311" s="16">
        <v>8720689002240</v>
      </c>
      <c r="E311" s="14" t="s">
        <v>869</v>
      </c>
      <c r="F311" s="17" t="s">
        <v>870</v>
      </c>
      <c r="G311" s="18">
        <v>4</v>
      </c>
      <c r="H311" s="19">
        <v>0</v>
      </c>
      <c r="I311" s="18">
        <v>0</v>
      </c>
      <c r="J311" s="8" t="s">
        <v>100</v>
      </c>
      <c r="K311" s="14">
        <v>2999</v>
      </c>
      <c r="L311" s="14" t="s">
        <v>101</v>
      </c>
      <c r="M311" s="20" t="s">
        <v>102</v>
      </c>
      <c r="N311" s="14" t="s">
        <v>103</v>
      </c>
      <c r="O311" s="12">
        <f t="shared" si="12"/>
        <v>10</v>
      </c>
      <c r="P311" t="str">
        <f t="shared" si="14"/>
        <v>MG5950/15</v>
      </c>
      <c r="Q311">
        <f t="shared" si="13"/>
        <v>4</v>
      </c>
      <c r="R311" s="21"/>
    </row>
    <row r="312" spans="1:18" x14ac:dyDescent="0.3">
      <c r="A312" s="14">
        <v>6140</v>
      </c>
      <c r="B312" s="8" t="s">
        <v>96</v>
      </c>
      <c r="C312" s="15" t="s">
        <v>871</v>
      </c>
      <c r="D312" s="16">
        <v>8710103862772</v>
      </c>
      <c r="E312" s="14" t="s">
        <v>872</v>
      </c>
      <c r="F312" s="17" t="s">
        <v>873</v>
      </c>
      <c r="G312" s="18">
        <v>13</v>
      </c>
      <c r="H312" s="19">
        <v>0</v>
      </c>
      <c r="I312" s="18">
        <v>0</v>
      </c>
      <c r="J312" s="8" t="s">
        <v>100</v>
      </c>
      <c r="K312" s="14">
        <v>10299</v>
      </c>
      <c r="L312" s="14" t="s">
        <v>874</v>
      </c>
      <c r="M312" s="20" t="s">
        <v>102</v>
      </c>
      <c r="N312" s="14" t="s">
        <v>103</v>
      </c>
      <c r="O312" s="12">
        <f t="shared" si="12"/>
        <v>10</v>
      </c>
      <c r="P312" t="str">
        <f t="shared" si="14"/>
        <v>HD9650/90</v>
      </c>
      <c r="Q312">
        <f t="shared" si="13"/>
        <v>13</v>
      </c>
      <c r="R312" s="21"/>
    </row>
    <row r="313" spans="1:18" x14ac:dyDescent="0.3">
      <c r="A313" s="14">
        <v>6697</v>
      </c>
      <c r="B313" s="8" t="s">
        <v>96</v>
      </c>
      <c r="C313" s="15" t="s">
        <v>875</v>
      </c>
      <c r="D313" s="16">
        <v>8710103934813</v>
      </c>
      <c r="E313" s="14" t="s">
        <v>876</v>
      </c>
      <c r="F313" s="17" t="s">
        <v>877</v>
      </c>
      <c r="G313" s="18">
        <v>7</v>
      </c>
      <c r="H313" s="19">
        <v>0</v>
      </c>
      <c r="I313" s="18">
        <v>0</v>
      </c>
      <c r="J313" s="8" t="s">
        <v>100</v>
      </c>
      <c r="K313" s="14">
        <v>13449</v>
      </c>
      <c r="L313" s="14" t="s">
        <v>874</v>
      </c>
      <c r="M313" s="20" t="s">
        <v>102</v>
      </c>
      <c r="N313" s="14" t="s">
        <v>103</v>
      </c>
      <c r="O313" s="12">
        <f t="shared" si="12"/>
        <v>10</v>
      </c>
      <c r="P313" t="str">
        <f t="shared" si="14"/>
        <v>HD9867/90</v>
      </c>
      <c r="Q313">
        <f t="shared" si="13"/>
        <v>7</v>
      </c>
      <c r="R313" s="21"/>
    </row>
    <row r="314" spans="1:18" x14ac:dyDescent="0.3">
      <c r="A314" s="14">
        <v>6626</v>
      </c>
      <c r="B314" s="8" t="s">
        <v>96</v>
      </c>
      <c r="C314" s="15" t="s">
        <v>878</v>
      </c>
      <c r="D314" s="16">
        <v>3045380020696</v>
      </c>
      <c r="E314" s="14" t="s">
        <v>879</v>
      </c>
      <c r="F314" s="17" t="s">
        <v>880</v>
      </c>
      <c r="G314" s="18">
        <v>4</v>
      </c>
      <c r="H314" s="19">
        <v>0</v>
      </c>
      <c r="I314" s="18">
        <v>0</v>
      </c>
      <c r="J314" s="8" t="s">
        <v>100</v>
      </c>
      <c r="K314" s="14">
        <v>6899</v>
      </c>
      <c r="L314" s="14" t="s">
        <v>874</v>
      </c>
      <c r="M314" s="20" t="s">
        <v>881</v>
      </c>
      <c r="N314" s="14" t="s">
        <v>103</v>
      </c>
      <c r="O314" s="12">
        <f t="shared" si="12"/>
        <v>10</v>
      </c>
      <c r="P314" t="str">
        <f t="shared" si="14"/>
        <v>F-EF20230</v>
      </c>
      <c r="Q314">
        <f t="shared" si="13"/>
        <v>4</v>
      </c>
      <c r="R314" s="21"/>
    </row>
    <row r="315" spans="1:18" x14ac:dyDescent="0.3">
      <c r="A315" s="14">
        <v>7237</v>
      </c>
      <c r="B315" s="8" t="s">
        <v>96</v>
      </c>
      <c r="C315" s="15">
        <v>20244923</v>
      </c>
      <c r="D315" s="16">
        <v>8698902449236</v>
      </c>
      <c r="E315" s="14" t="s">
        <v>882</v>
      </c>
      <c r="F315" s="17" t="s">
        <v>883</v>
      </c>
      <c r="G315" s="18">
        <v>5</v>
      </c>
      <c r="I315" s="18">
        <v>0</v>
      </c>
      <c r="J315" s="8" t="s">
        <v>100</v>
      </c>
      <c r="K315" s="14">
        <v>8649</v>
      </c>
      <c r="L315" s="14" t="s">
        <v>874</v>
      </c>
      <c r="M315" s="20" t="s">
        <v>237</v>
      </c>
      <c r="N315" s="14" t="s">
        <v>103</v>
      </c>
      <c r="O315" s="12">
        <f t="shared" si="12"/>
        <v>10</v>
      </c>
      <c r="P315" t="str">
        <f t="shared" si="14"/>
        <v>20244923</v>
      </c>
      <c r="Q315">
        <f t="shared" si="13"/>
        <v>5</v>
      </c>
      <c r="R315" s="21"/>
    </row>
    <row r="316" spans="1:18" x14ac:dyDescent="0.3">
      <c r="A316" s="14">
        <v>6203</v>
      </c>
      <c r="B316" s="8" t="s">
        <v>96</v>
      </c>
      <c r="C316" s="15">
        <v>20262691</v>
      </c>
      <c r="D316" s="16">
        <v>8698902626910</v>
      </c>
      <c r="E316" s="14" t="s">
        <v>884</v>
      </c>
      <c r="F316" s="17" t="s">
        <v>885</v>
      </c>
      <c r="G316" s="18">
        <v>1</v>
      </c>
      <c r="H316" s="19">
        <v>1</v>
      </c>
      <c r="I316" s="18">
        <v>0</v>
      </c>
      <c r="J316" s="8" t="s">
        <v>100</v>
      </c>
      <c r="K316" s="14">
        <v>8449</v>
      </c>
      <c r="L316" s="14" t="s">
        <v>886</v>
      </c>
      <c r="M316" s="20" t="s">
        <v>237</v>
      </c>
      <c r="N316" s="14" t="s">
        <v>130</v>
      </c>
      <c r="O316" s="12">
        <f t="shared" si="12"/>
        <v>10</v>
      </c>
      <c r="P316" t="str">
        <f t="shared" si="14"/>
        <v>20262691</v>
      </c>
      <c r="Q316">
        <f t="shared" si="13"/>
        <v>0</v>
      </c>
      <c r="R316" s="21"/>
    </row>
    <row r="317" spans="1:18" x14ac:dyDescent="0.3">
      <c r="A317" s="14">
        <v>5376</v>
      </c>
      <c r="B317" s="8" t="s">
        <v>96</v>
      </c>
      <c r="C317" s="15">
        <v>20262667</v>
      </c>
      <c r="D317" s="16">
        <v>8698902626675</v>
      </c>
      <c r="E317" s="14" t="s">
        <v>887</v>
      </c>
      <c r="F317" s="17" t="s">
        <v>888</v>
      </c>
      <c r="G317" s="18">
        <v>4</v>
      </c>
      <c r="H317" s="19">
        <v>3</v>
      </c>
      <c r="I317" s="18">
        <v>0</v>
      </c>
      <c r="J317" s="8" t="s">
        <v>100</v>
      </c>
      <c r="K317" s="14">
        <v>19999</v>
      </c>
      <c r="L317" s="14" t="s">
        <v>886</v>
      </c>
      <c r="M317" s="20" t="s">
        <v>237</v>
      </c>
      <c r="N317" s="14" t="s">
        <v>130</v>
      </c>
      <c r="O317" s="12">
        <f t="shared" si="12"/>
        <v>10</v>
      </c>
      <c r="P317" t="str">
        <f t="shared" si="14"/>
        <v>20262667</v>
      </c>
      <c r="Q317">
        <f t="shared" si="13"/>
        <v>1</v>
      </c>
      <c r="R317" s="21"/>
    </row>
    <row r="318" spans="1:18" x14ac:dyDescent="0.3">
      <c r="A318" s="14">
        <v>7114</v>
      </c>
      <c r="B318" s="8" t="s">
        <v>96</v>
      </c>
      <c r="C318" s="15">
        <v>20265467</v>
      </c>
      <c r="D318" s="16">
        <v>8698902654678</v>
      </c>
      <c r="E318" s="14" t="s">
        <v>889</v>
      </c>
      <c r="F318" s="17" t="s">
        <v>890</v>
      </c>
      <c r="G318" s="22">
        <v>5</v>
      </c>
      <c r="H318" s="19">
        <v>5</v>
      </c>
      <c r="I318" s="18">
        <v>0</v>
      </c>
      <c r="J318" s="8" t="s">
        <v>100</v>
      </c>
      <c r="K318" s="14">
        <v>18999</v>
      </c>
      <c r="L318" s="14" t="s">
        <v>886</v>
      </c>
      <c r="M318" s="20" t="s">
        <v>237</v>
      </c>
      <c r="N318" s="14" t="s">
        <v>130</v>
      </c>
      <c r="O318" s="12">
        <f t="shared" si="12"/>
        <v>10</v>
      </c>
      <c r="P318" t="str">
        <f t="shared" si="14"/>
        <v>20265467</v>
      </c>
      <c r="Q318">
        <f t="shared" si="13"/>
        <v>0</v>
      </c>
      <c r="R318" s="21"/>
    </row>
    <row r="319" spans="1:18" x14ac:dyDescent="0.3">
      <c r="A319" s="14">
        <v>7101</v>
      </c>
      <c r="B319" s="8" t="s">
        <v>96</v>
      </c>
      <c r="C319" s="15">
        <v>20262671</v>
      </c>
      <c r="D319" s="16">
        <v>8698902626712</v>
      </c>
      <c r="E319" s="14" t="s">
        <v>891</v>
      </c>
      <c r="F319" s="17" t="s">
        <v>892</v>
      </c>
      <c r="G319" s="18">
        <v>3</v>
      </c>
      <c r="H319" s="19">
        <v>3</v>
      </c>
      <c r="I319" s="18">
        <v>0</v>
      </c>
      <c r="J319" s="8" t="s">
        <v>100</v>
      </c>
      <c r="K319" s="14">
        <v>19849</v>
      </c>
      <c r="L319" s="14" t="s">
        <v>886</v>
      </c>
      <c r="M319" s="20" t="s">
        <v>237</v>
      </c>
      <c r="N319" s="14" t="s">
        <v>130</v>
      </c>
      <c r="O319" s="12">
        <f t="shared" si="12"/>
        <v>10</v>
      </c>
      <c r="P319" t="str">
        <f t="shared" si="14"/>
        <v>20262671</v>
      </c>
      <c r="Q319">
        <f t="shared" si="13"/>
        <v>0</v>
      </c>
      <c r="R319" s="21"/>
    </row>
    <row r="320" spans="1:18" x14ac:dyDescent="0.3">
      <c r="A320" s="14">
        <v>7239</v>
      </c>
      <c r="B320" s="8" t="s">
        <v>96</v>
      </c>
      <c r="C320" s="15">
        <v>20269392</v>
      </c>
      <c r="D320" s="16">
        <v>8698902693929</v>
      </c>
      <c r="E320" s="14" t="s">
        <v>893</v>
      </c>
      <c r="F320" s="17" t="s">
        <v>894</v>
      </c>
      <c r="G320" s="18">
        <v>2</v>
      </c>
      <c r="H320" s="19">
        <v>2</v>
      </c>
      <c r="I320" s="18">
        <v>0</v>
      </c>
      <c r="J320" s="8" t="s">
        <v>100</v>
      </c>
      <c r="K320" s="14">
        <v>19849</v>
      </c>
      <c r="L320" s="14" t="s">
        <v>886</v>
      </c>
      <c r="M320" s="20" t="s">
        <v>237</v>
      </c>
      <c r="N320" s="14" t="s">
        <v>130</v>
      </c>
      <c r="O320" s="12">
        <f t="shared" si="12"/>
        <v>10</v>
      </c>
      <c r="P320" t="str">
        <f t="shared" si="14"/>
        <v>20269392</v>
      </c>
      <c r="Q320">
        <f t="shared" si="13"/>
        <v>0</v>
      </c>
      <c r="R320" s="21"/>
    </row>
    <row r="321" spans="1:18" x14ac:dyDescent="0.3">
      <c r="A321" s="14">
        <v>6889</v>
      </c>
      <c r="B321" s="8" t="s">
        <v>96</v>
      </c>
      <c r="C321" s="15">
        <v>20265530</v>
      </c>
      <c r="D321" s="16">
        <v>8698902655309</v>
      </c>
      <c r="E321" s="14" t="s">
        <v>895</v>
      </c>
      <c r="F321" s="17" t="s">
        <v>896</v>
      </c>
      <c r="G321" s="18">
        <v>2</v>
      </c>
      <c r="H321" s="19">
        <v>0</v>
      </c>
      <c r="I321" s="18">
        <v>0</v>
      </c>
      <c r="J321" s="8" t="s">
        <v>100</v>
      </c>
      <c r="K321" s="14">
        <v>6299</v>
      </c>
      <c r="L321" s="14" t="s">
        <v>897</v>
      </c>
      <c r="M321" s="20" t="s">
        <v>237</v>
      </c>
      <c r="N321" s="14" t="s">
        <v>234</v>
      </c>
      <c r="O321" s="12">
        <f t="shared" si="12"/>
        <v>10</v>
      </c>
      <c r="P321" t="str">
        <f t="shared" si="14"/>
        <v>20265530</v>
      </c>
      <c r="Q321">
        <f t="shared" si="13"/>
        <v>2</v>
      </c>
      <c r="R321" s="21"/>
    </row>
    <row r="322" spans="1:18" x14ac:dyDescent="0.3">
      <c r="A322" s="14">
        <v>7281</v>
      </c>
      <c r="B322" s="8" t="s">
        <v>96</v>
      </c>
      <c r="C322" s="15" t="s">
        <v>898</v>
      </c>
      <c r="D322" s="16">
        <v>8720389027673</v>
      </c>
      <c r="E322" s="14" t="s">
        <v>899</v>
      </c>
      <c r="F322" s="17" t="s">
        <v>900</v>
      </c>
      <c r="G322" s="18">
        <v>2</v>
      </c>
      <c r="H322" s="19">
        <v>0</v>
      </c>
      <c r="I322" s="18">
        <v>0</v>
      </c>
      <c r="J322" s="8" t="s">
        <v>100</v>
      </c>
      <c r="K322" s="14">
        <v>27999</v>
      </c>
      <c r="L322" s="14" t="s">
        <v>693</v>
      </c>
      <c r="M322" s="20" t="s">
        <v>102</v>
      </c>
      <c r="N322" s="14" t="s">
        <v>103</v>
      </c>
      <c r="O322" s="12">
        <f t="shared" si="12"/>
        <v>10</v>
      </c>
      <c r="P322" t="str">
        <f t="shared" si="14"/>
        <v>EP3347/90</v>
      </c>
      <c r="Q322">
        <f t="shared" si="13"/>
        <v>2</v>
      </c>
      <c r="R322" s="21"/>
    </row>
    <row r="323" spans="1:18" x14ac:dyDescent="0.3">
      <c r="A323" s="14">
        <v>6794</v>
      </c>
      <c r="B323" s="8" t="s">
        <v>96</v>
      </c>
      <c r="C323" s="15" t="s">
        <v>901</v>
      </c>
      <c r="D323" s="16">
        <v>8720389030567</v>
      </c>
      <c r="E323" s="14" t="s">
        <v>902</v>
      </c>
      <c r="F323" s="17" t="s">
        <v>903</v>
      </c>
      <c r="G323" s="18">
        <v>3</v>
      </c>
      <c r="H323" s="19">
        <v>0</v>
      </c>
      <c r="I323" s="18">
        <v>0</v>
      </c>
      <c r="J323" s="8" t="s">
        <v>100</v>
      </c>
      <c r="K323" s="14">
        <v>3099</v>
      </c>
      <c r="L323" s="14" t="s">
        <v>693</v>
      </c>
      <c r="M323" s="20" t="s">
        <v>102</v>
      </c>
      <c r="N323" s="14" t="s">
        <v>103</v>
      </c>
      <c r="O323" s="12">
        <f t="shared" ref="O323:O386" si="15">IF(C323&gt;0,10-COUNTIF(AM323:AW323,"-"),"")</f>
        <v>10</v>
      </c>
      <c r="P323" t="str">
        <f t="shared" si="14"/>
        <v>HDA150/60</v>
      </c>
      <c r="Q323">
        <f t="shared" ref="Q323:Q386" si="16">G323-H323</f>
        <v>3</v>
      </c>
      <c r="R323" s="21"/>
    </row>
    <row r="324" spans="1:18" x14ac:dyDescent="0.3">
      <c r="A324" s="14">
        <v>6961</v>
      </c>
      <c r="B324" s="8" t="s">
        <v>96</v>
      </c>
      <c r="C324" s="15" t="s">
        <v>904</v>
      </c>
      <c r="D324" s="16">
        <v>8720389030574</v>
      </c>
      <c r="E324" s="14" t="s">
        <v>905</v>
      </c>
      <c r="F324" s="17" t="s">
        <v>906</v>
      </c>
      <c r="G324" s="18">
        <v>2</v>
      </c>
      <c r="H324" s="19">
        <v>0</v>
      </c>
      <c r="I324" s="18">
        <v>1</v>
      </c>
      <c r="J324" s="8" t="s">
        <v>100</v>
      </c>
      <c r="K324" s="14">
        <v>3099</v>
      </c>
      <c r="L324" s="14" t="s">
        <v>693</v>
      </c>
      <c r="M324" s="20" t="s">
        <v>102</v>
      </c>
      <c r="N324" s="14" t="s">
        <v>103</v>
      </c>
      <c r="O324" s="12">
        <f t="shared" si="15"/>
        <v>10</v>
      </c>
      <c r="P324" t="str">
        <f t="shared" ref="P324:P387" si="17">IF(LEFT(C324,2)="SM",CONCATENATE(LEFT(C324,7),"✦",MID(C324,11,1)),LEFT(C324,9))</f>
        <v>HDA150/61</v>
      </c>
      <c r="Q324">
        <f t="shared" si="16"/>
        <v>2</v>
      </c>
      <c r="R324" s="21"/>
    </row>
    <row r="325" spans="1:18" x14ac:dyDescent="0.3">
      <c r="A325" s="14">
        <v>4397</v>
      </c>
      <c r="B325" s="8" t="s">
        <v>96</v>
      </c>
      <c r="C325" s="15">
        <v>20242659</v>
      </c>
      <c r="D325" s="16">
        <v>8698902426596</v>
      </c>
      <c r="E325" s="14" t="s">
        <v>907</v>
      </c>
      <c r="F325" s="17" t="s">
        <v>908</v>
      </c>
      <c r="G325" s="18">
        <v>1</v>
      </c>
      <c r="H325" s="19">
        <v>0</v>
      </c>
      <c r="I325" s="18">
        <v>0</v>
      </c>
      <c r="J325" s="8" t="s">
        <v>100</v>
      </c>
      <c r="K325" s="14">
        <v>3099</v>
      </c>
      <c r="L325" s="14" t="s">
        <v>693</v>
      </c>
      <c r="M325" s="20" t="s">
        <v>237</v>
      </c>
      <c r="N325" s="14" t="s">
        <v>103</v>
      </c>
      <c r="O325" s="12">
        <f t="shared" si="15"/>
        <v>10</v>
      </c>
      <c r="P325" t="str">
        <f t="shared" si="17"/>
        <v>20242659</v>
      </c>
      <c r="Q325">
        <f t="shared" si="16"/>
        <v>1</v>
      </c>
      <c r="R325" s="21"/>
    </row>
    <row r="326" spans="1:18" x14ac:dyDescent="0.3">
      <c r="A326" s="14">
        <v>7326</v>
      </c>
      <c r="B326" s="8" t="s">
        <v>96</v>
      </c>
      <c r="C326" s="15">
        <v>20244604</v>
      </c>
      <c r="D326" s="16">
        <v>8698902446044</v>
      </c>
      <c r="E326" s="14" t="s">
        <v>909</v>
      </c>
      <c r="F326" s="17" t="s">
        <v>910</v>
      </c>
      <c r="G326" s="18">
        <v>3</v>
      </c>
      <c r="I326" s="18">
        <v>0</v>
      </c>
      <c r="J326" s="8" t="s">
        <v>100</v>
      </c>
      <c r="K326" s="14">
        <v>3499</v>
      </c>
      <c r="L326" s="14" t="s">
        <v>693</v>
      </c>
      <c r="M326" s="20" t="s">
        <v>237</v>
      </c>
      <c r="N326" s="14" t="s">
        <v>103</v>
      </c>
      <c r="O326" s="12">
        <f t="shared" si="15"/>
        <v>10</v>
      </c>
      <c r="P326" t="str">
        <f t="shared" si="17"/>
        <v>20244604</v>
      </c>
      <c r="Q326">
        <f t="shared" si="16"/>
        <v>3</v>
      </c>
      <c r="R326" s="21"/>
    </row>
    <row r="327" spans="1:18" x14ac:dyDescent="0.3">
      <c r="A327" s="14">
        <v>7391</v>
      </c>
      <c r="B327" s="8" t="s">
        <v>96</v>
      </c>
      <c r="C327" s="15">
        <v>20242831</v>
      </c>
      <c r="D327" s="16">
        <v>8698902428316</v>
      </c>
      <c r="E327" s="14" t="s">
        <v>911</v>
      </c>
      <c r="F327" s="17" t="s">
        <v>912</v>
      </c>
      <c r="G327" s="18">
        <v>1</v>
      </c>
      <c r="I327" s="18">
        <v>0</v>
      </c>
      <c r="J327" s="8" t="s">
        <v>100</v>
      </c>
      <c r="K327" s="14">
        <v>4599</v>
      </c>
      <c r="L327" s="14" t="s">
        <v>693</v>
      </c>
      <c r="M327" s="20" t="s">
        <v>237</v>
      </c>
      <c r="N327" s="14" t="s">
        <v>103</v>
      </c>
      <c r="O327" s="12">
        <f t="shared" si="15"/>
        <v>10</v>
      </c>
      <c r="P327" t="str">
        <f t="shared" si="17"/>
        <v>20242831</v>
      </c>
      <c r="Q327">
        <f t="shared" si="16"/>
        <v>1</v>
      </c>
      <c r="R327" s="21"/>
    </row>
    <row r="328" spans="1:18" x14ac:dyDescent="0.3">
      <c r="A328" s="14">
        <v>6965</v>
      </c>
      <c r="B328" s="8" t="s">
        <v>96</v>
      </c>
      <c r="C328" s="15">
        <v>20244844</v>
      </c>
      <c r="D328" s="16">
        <v>8698902448444</v>
      </c>
      <c r="E328" s="14" t="s">
        <v>913</v>
      </c>
      <c r="F328" s="17" t="s">
        <v>914</v>
      </c>
      <c r="G328" s="18">
        <v>6</v>
      </c>
      <c r="H328" s="19">
        <v>0</v>
      </c>
      <c r="I328" s="18">
        <v>0</v>
      </c>
      <c r="J328" s="8" t="s">
        <v>100</v>
      </c>
      <c r="K328" s="14">
        <v>5449</v>
      </c>
      <c r="L328" s="14" t="s">
        <v>693</v>
      </c>
      <c r="M328" s="20" t="s">
        <v>237</v>
      </c>
      <c r="N328" s="14" t="s">
        <v>103</v>
      </c>
      <c r="O328" s="12">
        <f t="shared" si="15"/>
        <v>10</v>
      </c>
      <c r="P328" t="str">
        <f t="shared" si="17"/>
        <v>20244844</v>
      </c>
      <c r="Q328">
        <f t="shared" si="16"/>
        <v>6</v>
      </c>
      <c r="R328" s="21"/>
    </row>
    <row r="329" spans="1:18" x14ac:dyDescent="0.3">
      <c r="A329" s="14">
        <v>6884</v>
      </c>
      <c r="B329" s="8" t="s">
        <v>96</v>
      </c>
      <c r="C329" s="15">
        <v>20244848</v>
      </c>
      <c r="D329" s="16">
        <v>8698902448482</v>
      </c>
      <c r="E329" s="14" t="s">
        <v>915</v>
      </c>
      <c r="F329" s="17" t="s">
        <v>916</v>
      </c>
      <c r="G329" s="18">
        <v>5</v>
      </c>
      <c r="H329" s="19">
        <v>0</v>
      </c>
      <c r="I329" s="18">
        <v>0</v>
      </c>
      <c r="J329" s="8" t="s">
        <v>100</v>
      </c>
      <c r="K329" s="14">
        <v>4349</v>
      </c>
      <c r="L329" s="14" t="s">
        <v>693</v>
      </c>
      <c r="M329" s="20" t="s">
        <v>237</v>
      </c>
      <c r="N329" s="14" t="s">
        <v>103</v>
      </c>
      <c r="O329" s="12">
        <f t="shared" si="15"/>
        <v>10</v>
      </c>
      <c r="P329" t="str">
        <f t="shared" si="17"/>
        <v>20244848</v>
      </c>
      <c r="Q329">
        <f t="shared" si="16"/>
        <v>5</v>
      </c>
      <c r="R329" s="21"/>
    </row>
    <row r="330" spans="1:18" x14ac:dyDescent="0.3">
      <c r="A330" s="14">
        <v>5295</v>
      </c>
      <c r="B330" s="8" t="s">
        <v>96</v>
      </c>
      <c r="C330" s="15">
        <v>20242962</v>
      </c>
      <c r="D330" s="16">
        <v>8698902429627</v>
      </c>
      <c r="E330" s="14" t="s">
        <v>917</v>
      </c>
      <c r="F330" s="17" t="s">
        <v>918</v>
      </c>
      <c r="G330" s="18">
        <v>1</v>
      </c>
      <c r="H330" s="19">
        <v>0</v>
      </c>
      <c r="I330" s="18">
        <v>0</v>
      </c>
      <c r="J330" s="8" t="s">
        <v>100</v>
      </c>
      <c r="K330" s="14">
        <v>5449</v>
      </c>
      <c r="L330" s="14" t="s">
        <v>693</v>
      </c>
      <c r="M330" s="20" t="s">
        <v>237</v>
      </c>
      <c r="N330" s="14" t="s">
        <v>103</v>
      </c>
      <c r="O330" s="12">
        <f t="shared" si="15"/>
        <v>10</v>
      </c>
      <c r="P330" t="str">
        <f t="shared" si="17"/>
        <v>20242962</v>
      </c>
      <c r="Q330">
        <f t="shared" si="16"/>
        <v>1</v>
      </c>
      <c r="R330" s="21"/>
    </row>
    <row r="331" spans="1:18" x14ac:dyDescent="0.3">
      <c r="A331" s="14">
        <v>1155</v>
      </c>
      <c r="B331" s="8" t="s">
        <v>96</v>
      </c>
      <c r="C331" s="15" t="s">
        <v>919</v>
      </c>
      <c r="E331" s="14" t="s">
        <v>920</v>
      </c>
      <c r="F331" s="17" t="s">
        <v>921</v>
      </c>
      <c r="G331" s="18">
        <v>5</v>
      </c>
      <c r="H331" s="19">
        <v>0</v>
      </c>
      <c r="I331" s="18">
        <v>0</v>
      </c>
      <c r="J331" s="8" t="s">
        <v>100</v>
      </c>
      <c r="K331" s="14">
        <v>599</v>
      </c>
      <c r="L331" s="14" t="s">
        <v>233</v>
      </c>
      <c r="M331" s="20" t="s">
        <v>922</v>
      </c>
      <c r="N331" s="14" t="s">
        <v>234</v>
      </c>
      <c r="O331" s="12">
        <f t="shared" si="15"/>
        <v>10</v>
      </c>
      <c r="P331" t="str">
        <f t="shared" si="17"/>
        <v>HDMI3</v>
      </c>
      <c r="Q331">
        <f t="shared" si="16"/>
        <v>5</v>
      </c>
      <c r="R331" s="21"/>
    </row>
    <row r="332" spans="1:18" x14ac:dyDescent="0.3">
      <c r="A332" s="14">
        <v>7449</v>
      </c>
      <c r="B332" s="8" t="s">
        <v>96</v>
      </c>
      <c r="C332" s="15" t="s">
        <v>923</v>
      </c>
      <c r="D332" s="16">
        <v>8806090000843</v>
      </c>
      <c r="E332" s="14" t="s">
        <v>924</v>
      </c>
      <c r="F332" s="17" t="s">
        <v>925</v>
      </c>
      <c r="G332" s="18">
        <v>2</v>
      </c>
      <c r="H332" s="19">
        <v>2</v>
      </c>
      <c r="I332" s="18">
        <v>1</v>
      </c>
      <c r="J332" s="8" t="s">
        <v>100</v>
      </c>
      <c r="L332" s="14" t="s">
        <v>926</v>
      </c>
      <c r="M332" s="20" t="s">
        <v>114</v>
      </c>
      <c r="N332" s="14" t="s">
        <v>927</v>
      </c>
      <c r="O332" s="12">
        <f t="shared" si="15"/>
        <v>10</v>
      </c>
      <c r="P332" t="str">
        <f t="shared" si="17"/>
        <v>MIM-H04RN</v>
      </c>
      <c r="Q332">
        <f t="shared" si="16"/>
        <v>0</v>
      </c>
      <c r="R332" s="21"/>
    </row>
    <row r="333" spans="1:18" x14ac:dyDescent="0.3">
      <c r="A333" s="14">
        <v>6163</v>
      </c>
      <c r="B333" s="8" t="s">
        <v>96</v>
      </c>
      <c r="C333" s="15" t="s">
        <v>928</v>
      </c>
      <c r="E333" s="14" t="s">
        <v>929</v>
      </c>
      <c r="F333" s="17" t="s">
        <v>930</v>
      </c>
      <c r="G333" s="18">
        <v>3</v>
      </c>
      <c r="H333" s="19">
        <v>3</v>
      </c>
      <c r="I333" s="18">
        <v>0</v>
      </c>
      <c r="J333" s="8" t="s">
        <v>100</v>
      </c>
      <c r="K333" s="14">
        <v>29999</v>
      </c>
      <c r="L333" s="14" t="s">
        <v>931</v>
      </c>
      <c r="M333" s="20" t="s">
        <v>114</v>
      </c>
      <c r="N333" s="14" t="s">
        <v>927</v>
      </c>
      <c r="O333" s="12">
        <f t="shared" si="15"/>
        <v>10</v>
      </c>
      <c r="P333" t="str">
        <f t="shared" si="17"/>
        <v>AJ035TN1D</v>
      </c>
      <c r="Q333">
        <f t="shared" si="16"/>
        <v>0</v>
      </c>
      <c r="R333" s="21"/>
    </row>
    <row r="334" spans="1:18" x14ac:dyDescent="0.3">
      <c r="A334" s="14">
        <v>6332</v>
      </c>
      <c r="B334" s="8" t="s">
        <v>96</v>
      </c>
      <c r="C334" s="15" t="s">
        <v>932</v>
      </c>
      <c r="E334" s="14" t="s">
        <v>933</v>
      </c>
      <c r="F334" s="17" t="s">
        <v>934</v>
      </c>
      <c r="G334" s="18">
        <v>3</v>
      </c>
      <c r="H334" s="19">
        <v>3</v>
      </c>
      <c r="I334" s="18">
        <v>0</v>
      </c>
      <c r="J334" s="8" t="s">
        <v>100</v>
      </c>
      <c r="K334" s="14">
        <v>16499</v>
      </c>
      <c r="L334" s="14" t="s">
        <v>931</v>
      </c>
      <c r="M334" s="20" t="s">
        <v>114</v>
      </c>
      <c r="N334" s="14" t="s">
        <v>927</v>
      </c>
      <c r="O334" s="12">
        <f t="shared" si="15"/>
        <v>10</v>
      </c>
      <c r="P334" t="str">
        <f t="shared" si="17"/>
        <v>AJ035TNAP</v>
      </c>
      <c r="Q334">
        <f t="shared" si="16"/>
        <v>0</v>
      </c>
      <c r="R334" s="21"/>
    </row>
    <row r="335" spans="1:18" x14ac:dyDescent="0.3">
      <c r="A335" s="14">
        <v>6333</v>
      </c>
      <c r="B335" s="8" t="s">
        <v>96</v>
      </c>
      <c r="C335" s="15" t="s">
        <v>935</v>
      </c>
      <c r="E335" s="14" t="s">
        <v>936</v>
      </c>
      <c r="F335" s="17" t="s">
        <v>937</v>
      </c>
      <c r="G335" s="18">
        <v>5</v>
      </c>
      <c r="H335" s="19">
        <v>5</v>
      </c>
      <c r="I335" s="18">
        <v>0</v>
      </c>
      <c r="J335" s="8" t="s">
        <v>100</v>
      </c>
      <c r="K335" s="14">
        <v>19999</v>
      </c>
      <c r="L335" s="14" t="s">
        <v>931</v>
      </c>
      <c r="M335" s="20" t="s">
        <v>114</v>
      </c>
      <c r="N335" s="14" t="s">
        <v>927</v>
      </c>
      <c r="O335" s="12">
        <f t="shared" si="15"/>
        <v>10</v>
      </c>
      <c r="P335" t="str">
        <f t="shared" si="17"/>
        <v>AJ050TNAP</v>
      </c>
      <c r="Q335">
        <f t="shared" si="16"/>
        <v>0</v>
      </c>
      <c r="R335" s="21"/>
    </row>
    <row r="336" spans="1:18" x14ac:dyDescent="0.3">
      <c r="A336" s="14">
        <v>7235</v>
      </c>
      <c r="B336" s="8" t="s">
        <v>96</v>
      </c>
      <c r="C336" s="15" t="s">
        <v>938</v>
      </c>
      <c r="E336" s="14" t="s">
        <v>939</v>
      </c>
      <c r="F336" s="17" t="s">
        <v>940</v>
      </c>
      <c r="G336" s="18">
        <v>1</v>
      </c>
      <c r="H336" s="19">
        <v>1</v>
      </c>
      <c r="I336" s="18">
        <v>0</v>
      </c>
      <c r="J336" s="8" t="s">
        <v>100</v>
      </c>
      <c r="K336" s="14">
        <v>135699</v>
      </c>
      <c r="L336" s="14" t="s">
        <v>941</v>
      </c>
      <c r="M336" s="20" t="s">
        <v>114</v>
      </c>
      <c r="N336" s="14" t="s">
        <v>927</v>
      </c>
      <c r="O336" s="12">
        <f t="shared" si="15"/>
        <v>10</v>
      </c>
      <c r="P336" t="str">
        <f t="shared" si="17"/>
        <v>AC140BNPD</v>
      </c>
      <c r="Q336">
        <f t="shared" si="16"/>
        <v>0</v>
      </c>
      <c r="R336" s="21"/>
    </row>
    <row r="337" spans="1:18" x14ac:dyDescent="0.3">
      <c r="A337" s="14">
        <v>5380</v>
      </c>
      <c r="B337" s="8" t="s">
        <v>96</v>
      </c>
      <c r="C337" s="15" t="s">
        <v>942</v>
      </c>
      <c r="D337" s="16">
        <v>8806090268175</v>
      </c>
      <c r="E337" s="14" t="s">
        <v>943</v>
      </c>
      <c r="F337" s="17" t="s">
        <v>944</v>
      </c>
      <c r="G337" s="18">
        <v>2</v>
      </c>
      <c r="H337" s="19">
        <v>0</v>
      </c>
      <c r="I337" s="18">
        <v>0</v>
      </c>
      <c r="J337" s="8" t="s">
        <v>100</v>
      </c>
      <c r="K337" s="14">
        <v>38799</v>
      </c>
      <c r="L337" s="14" t="s">
        <v>945</v>
      </c>
      <c r="M337" s="20" t="s">
        <v>114</v>
      </c>
      <c r="N337" s="14" t="s">
        <v>927</v>
      </c>
      <c r="O337" s="12">
        <f t="shared" si="15"/>
        <v>10</v>
      </c>
      <c r="P337" t="str">
        <f t="shared" si="17"/>
        <v>AR12TXHQB</v>
      </c>
      <c r="Q337">
        <f t="shared" si="16"/>
        <v>2</v>
      </c>
      <c r="R337" s="21"/>
    </row>
    <row r="338" spans="1:18" x14ac:dyDescent="0.3">
      <c r="A338" s="14">
        <v>5767</v>
      </c>
      <c r="B338" s="8" t="s">
        <v>96</v>
      </c>
      <c r="C338" s="15" t="s">
        <v>946</v>
      </c>
      <c r="D338" s="16">
        <v>8806090259401</v>
      </c>
      <c r="E338" s="14" t="s">
        <v>947</v>
      </c>
      <c r="F338" s="17" t="s">
        <v>948</v>
      </c>
      <c r="G338" s="18">
        <v>1</v>
      </c>
      <c r="H338" s="19">
        <v>1</v>
      </c>
      <c r="I338" s="18">
        <v>0</v>
      </c>
      <c r="J338" s="8" t="s">
        <v>100</v>
      </c>
      <c r="K338" s="14">
        <v>62949</v>
      </c>
      <c r="L338" s="14" t="s">
        <v>945</v>
      </c>
      <c r="M338" s="20" t="s">
        <v>114</v>
      </c>
      <c r="N338" s="14" t="s">
        <v>927</v>
      </c>
      <c r="O338" s="12">
        <f t="shared" si="15"/>
        <v>10</v>
      </c>
      <c r="P338" t="str">
        <f t="shared" si="17"/>
        <v>AR24TSHZH</v>
      </c>
      <c r="Q338">
        <f t="shared" si="16"/>
        <v>0</v>
      </c>
      <c r="R338" s="21"/>
    </row>
    <row r="339" spans="1:18" x14ac:dyDescent="0.3">
      <c r="A339" s="14">
        <v>5472</v>
      </c>
      <c r="B339" s="8" t="s">
        <v>96</v>
      </c>
      <c r="C339" s="15" t="s">
        <v>949</v>
      </c>
      <c r="D339" s="16">
        <v>8806090260216</v>
      </c>
      <c r="E339" s="14" t="s">
        <v>950</v>
      </c>
      <c r="F339" s="17" t="s">
        <v>951</v>
      </c>
      <c r="G339" s="18">
        <v>5</v>
      </c>
      <c r="H339" s="19">
        <v>3</v>
      </c>
      <c r="I339" s="18">
        <v>0</v>
      </c>
      <c r="J339" s="8" t="s">
        <v>100</v>
      </c>
      <c r="K339" s="14">
        <v>49999</v>
      </c>
      <c r="L339" s="14" t="s">
        <v>945</v>
      </c>
      <c r="M339" s="20" t="s">
        <v>114</v>
      </c>
      <c r="N339" s="14" t="s">
        <v>927</v>
      </c>
      <c r="O339" s="12">
        <f t="shared" si="15"/>
        <v>10</v>
      </c>
      <c r="P339" t="str">
        <f t="shared" si="17"/>
        <v>AR18TSHZH</v>
      </c>
      <c r="Q339">
        <f t="shared" si="16"/>
        <v>2</v>
      </c>
      <c r="R339" s="21"/>
    </row>
    <row r="340" spans="1:18" x14ac:dyDescent="0.3">
      <c r="A340" s="14">
        <v>7463</v>
      </c>
      <c r="B340" s="8" t="s">
        <v>96</v>
      </c>
      <c r="C340" s="15" t="s">
        <v>952</v>
      </c>
      <c r="E340" s="14" t="s">
        <v>953</v>
      </c>
      <c r="F340" s="17" t="s">
        <v>954</v>
      </c>
      <c r="G340" s="18">
        <v>2</v>
      </c>
      <c r="H340" s="19">
        <v>1</v>
      </c>
      <c r="I340" s="18">
        <v>0</v>
      </c>
      <c r="J340" s="8" t="s">
        <v>100</v>
      </c>
      <c r="K340" s="14">
        <v>49999</v>
      </c>
      <c r="L340" s="14" t="s">
        <v>945</v>
      </c>
      <c r="M340" s="20" t="s">
        <v>114</v>
      </c>
      <c r="N340" s="14" t="s">
        <v>927</v>
      </c>
      <c r="O340" s="12">
        <f t="shared" si="15"/>
        <v>10</v>
      </c>
      <c r="P340" t="str">
        <f t="shared" si="17"/>
        <v>AR60F12C1</v>
      </c>
      <c r="Q340">
        <f t="shared" si="16"/>
        <v>1</v>
      </c>
      <c r="R340" s="21"/>
    </row>
    <row r="341" spans="1:18" x14ac:dyDescent="0.3">
      <c r="A341" s="14">
        <v>7296</v>
      </c>
      <c r="B341" s="8" t="s">
        <v>96</v>
      </c>
      <c r="C341" s="15" t="s">
        <v>955</v>
      </c>
      <c r="D341" s="16">
        <v>8806095912301</v>
      </c>
      <c r="E341" s="14" t="s">
        <v>956</v>
      </c>
      <c r="F341" s="17" t="s">
        <v>957</v>
      </c>
      <c r="G341" s="18">
        <v>1</v>
      </c>
      <c r="H341" s="19">
        <v>1</v>
      </c>
      <c r="I341" s="18">
        <v>0</v>
      </c>
      <c r="J341" s="8" t="s">
        <v>100</v>
      </c>
      <c r="K341" s="14">
        <v>69999</v>
      </c>
      <c r="L341" s="14" t="s">
        <v>945</v>
      </c>
      <c r="M341" s="20" t="s">
        <v>114</v>
      </c>
      <c r="N341" s="14" t="s">
        <v>927</v>
      </c>
      <c r="O341" s="12">
        <f t="shared" si="15"/>
        <v>10</v>
      </c>
      <c r="P341" t="str">
        <f t="shared" si="17"/>
        <v>AR60F18C1</v>
      </c>
      <c r="Q341">
        <f t="shared" si="16"/>
        <v>0</v>
      </c>
      <c r="R341" s="21"/>
    </row>
    <row r="342" spans="1:18" x14ac:dyDescent="0.3">
      <c r="A342" s="14">
        <v>7313</v>
      </c>
      <c r="B342" s="8" t="s">
        <v>96</v>
      </c>
      <c r="C342" s="15" t="s">
        <v>958</v>
      </c>
      <c r="D342" s="16">
        <v>8806090569562</v>
      </c>
      <c r="E342" s="14" t="s">
        <v>959</v>
      </c>
      <c r="F342" s="17" t="s">
        <v>960</v>
      </c>
      <c r="G342" s="18">
        <v>1</v>
      </c>
      <c r="H342" s="19">
        <v>1</v>
      </c>
      <c r="I342" s="18">
        <v>0</v>
      </c>
      <c r="J342" s="8" t="s">
        <v>100</v>
      </c>
      <c r="K342" s="14">
        <v>54999</v>
      </c>
      <c r="L342" s="14" t="s">
        <v>931</v>
      </c>
      <c r="M342" s="20" t="s">
        <v>114</v>
      </c>
      <c r="N342" s="14" t="s">
        <v>927</v>
      </c>
      <c r="O342" s="12">
        <f t="shared" si="15"/>
        <v>10</v>
      </c>
      <c r="P342" t="str">
        <f t="shared" si="17"/>
        <v>AJ050TXJ2</v>
      </c>
      <c r="Q342">
        <f t="shared" si="16"/>
        <v>0</v>
      </c>
      <c r="R342" s="21"/>
    </row>
    <row r="343" spans="1:18" x14ac:dyDescent="0.3">
      <c r="A343" s="14">
        <v>6165</v>
      </c>
      <c r="B343" s="8" t="s">
        <v>96</v>
      </c>
      <c r="C343" s="15" t="s">
        <v>961</v>
      </c>
      <c r="E343" s="14" t="s">
        <v>962</v>
      </c>
      <c r="F343" s="17" t="s">
        <v>963</v>
      </c>
      <c r="G343" s="18">
        <v>1</v>
      </c>
      <c r="H343" s="19">
        <v>1</v>
      </c>
      <c r="I343" s="18">
        <v>0</v>
      </c>
      <c r="J343" s="8" t="s">
        <v>100</v>
      </c>
      <c r="K343" s="14">
        <v>59999</v>
      </c>
      <c r="L343" s="14" t="s">
        <v>931</v>
      </c>
      <c r="M343" s="20" t="s">
        <v>114</v>
      </c>
      <c r="N343" s="14" t="s">
        <v>927</v>
      </c>
      <c r="O343" s="12">
        <f t="shared" si="15"/>
        <v>10</v>
      </c>
      <c r="P343" t="str">
        <f t="shared" si="17"/>
        <v>AJ068TXJ3</v>
      </c>
      <c r="Q343">
        <f t="shared" si="16"/>
        <v>0</v>
      </c>
      <c r="R343" s="21"/>
    </row>
    <row r="344" spans="1:18" x14ac:dyDescent="0.3">
      <c r="A344" s="14">
        <v>6664</v>
      </c>
      <c r="B344" s="8" t="s">
        <v>96</v>
      </c>
      <c r="C344" s="15" t="s">
        <v>964</v>
      </c>
      <c r="D344" s="16">
        <v>8806090569630</v>
      </c>
      <c r="E344" s="14" t="s">
        <v>965</v>
      </c>
      <c r="F344" s="17" t="s">
        <v>966</v>
      </c>
      <c r="G344" s="18">
        <v>1</v>
      </c>
      <c r="H344" s="19">
        <v>1</v>
      </c>
      <c r="I344" s="18">
        <v>0</v>
      </c>
      <c r="J344" s="8" t="s">
        <v>100</v>
      </c>
      <c r="K344" s="14">
        <v>71750</v>
      </c>
      <c r="L344" s="14" t="s">
        <v>931</v>
      </c>
      <c r="M344" s="20" t="s">
        <v>114</v>
      </c>
      <c r="N344" s="14" t="s">
        <v>927</v>
      </c>
      <c r="O344" s="12">
        <f t="shared" si="15"/>
        <v>10</v>
      </c>
      <c r="P344" t="str">
        <f t="shared" si="17"/>
        <v>AJ080TXJ4</v>
      </c>
      <c r="Q344">
        <f t="shared" si="16"/>
        <v>0</v>
      </c>
      <c r="R344" s="21"/>
    </row>
    <row r="345" spans="1:18" x14ac:dyDescent="0.3">
      <c r="A345" s="14">
        <v>6331</v>
      </c>
      <c r="B345" s="8" t="s">
        <v>96</v>
      </c>
      <c r="C345" s="15" t="s">
        <v>967</v>
      </c>
      <c r="E345" s="14" t="s">
        <v>968</v>
      </c>
      <c r="F345" s="17" t="s">
        <v>969</v>
      </c>
      <c r="G345" s="18">
        <v>2</v>
      </c>
      <c r="H345" s="19">
        <v>2</v>
      </c>
      <c r="I345" s="18">
        <v>0</v>
      </c>
      <c r="J345" s="8" t="s">
        <v>100</v>
      </c>
      <c r="K345" s="14">
        <v>108499</v>
      </c>
      <c r="L345" s="14" t="s">
        <v>931</v>
      </c>
      <c r="M345" s="20" t="s">
        <v>114</v>
      </c>
      <c r="N345" s="14" t="s">
        <v>927</v>
      </c>
      <c r="O345" s="12">
        <f t="shared" si="15"/>
        <v>10</v>
      </c>
      <c r="P345" t="str">
        <f t="shared" si="17"/>
        <v>AJ100TXJ5</v>
      </c>
      <c r="Q345">
        <f t="shared" si="16"/>
        <v>0</v>
      </c>
      <c r="R345" s="21"/>
    </row>
    <row r="346" spans="1:18" x14ac:dyDescent="0.3">
      <c r="A346" s="14">
        <v>6402</v>
      </c>
      <c r="B346" s="8" t="s">
        <v>96</v>
      </c>
      <c r="C346" s="15">
        <v>20234724</v>
      </c>
      <c r="D346" s="16">
        <v>8698902347242</v>
      </c>
      <c r="E346" s="14" t="s">
        <v>970</v>
      </c>
      <c r="F346" s="17" t="s">
        <v>971</v>
      </c>
      <c r="G346" s="18">
        <v>1</v>
      </c>
      <c r="H346" s="19">
        <v>0</v>
      </c>
      <c r="I346" s="18">
        <v>0</v>
      </c>
      <c r="J346" s="8" t="s">
        <v>100</v>
      </c>
      <c r="K346" s="14">
        <v>42499</v>
      </c>
      <c r="L346" s="14" t="s">
        <v>945</v>
      </c>
      <c r="M346" s="20" t="s">
        <v>237</v>
      </c>
      <c r="N346" s="14" t="s">
        <v>927</v>
      </c>
      <c r="O346" s="12">
        <f t="shared" si="15"/>
        <v>10</v>
      </c>
      <c r="P346" t="str">
        <f t="shared" si="17"/>
        <v>20234724</v>
      </c>
      <c r="Q346">
        <f t="shared" si="16"/>
        <v>1</v>
      </c>
      <c r="R346" s="21"/>
    </row>
    <row r="347" spans="1:18" x14ac:dyDescent="0.3">
      <c r="A347" s="14">
        <v>6273</v>
      </c>
      <c r="B347" s="8" t="s">
        <v>96</v>
      </c>
      <c r="C347" s="15">
        <v>20234476</v>
      </c>
      <c r="D347" s="16">
        <v>8698902344760</v>
      </c>
      <c r="E347" s="14" t="s">
        <v>972</v>
      </c>
      <c r="F347" s="17" t="s">
        <v>973</v>
      </c>
      <c r="G347" s="18">
        <v>1</v>
      </c>
      <c r="H347" s="19">
        <v>0</v>
      </c>
      <c r="I347" s="18">
        <v>0</v>
      </c>
      <c r="J347" s="8" t="s">
        <v>100</v>
      </c>
      <c r="K347" s="14">
        <v>46299</v>
      </c>
      <c r="L347" s="14" t="s">
        <v>945</v>
      </c>
      <c r="M347" s="20" t="s">
        <v>237</v>
      </c>
      <c r="N347" s="14" t="s">
        <v>927</v>
      </c>
      <c r="O347" s="12">
        <f t="shared" si="15"/>
        <v>10</v>
      </c>
      <c r="P347" t="str">
        <f t="shared" si="17"/>
        <v>20234476</v>
      </c>
      <c r="Q347">
        <f t="shared" si="16"/>
        <v>1</v>
      </c>
      <c r="R347" s="21"/>
    </row>
    <row r="348" spans="1:18" x14ac:dyDescent="0.3">
      <c r="A348" s="14">
        <v>7341</v>
      </c>
      <c r="B348" s="8" t="s">
        <v>96</v>
      </c>
      <c r="C348" s="15">
        <v>20235131</v>
      </c>
      <c r="D348" s="16">
        <v>8698902351317</v>
      </c>
      <c r="E348" s="14" t="s">
        <v>974</v>
      </c>
      <c r="F348" s="17" t="s">
        <v>975</v>
      </c>
      <c r="G348" s="18">
        <v>23</v>
      </c>
      <c r="H348" s="19">
        <v>21</v>
      </c>
      <c r="I348" s="18">
        <v>0</v>
      </c>
      <c r="J348" s="8" t="s">
        <v>100</v>
      </c>
      <c r="K348" s="14">
        <v>36249</v>
      </c>
      <c r="L348" s="14" t="s">
        <v>945</v>
      </c>
      <c r="M348" s="20" t="s">
        <v>237</v>
      </c>
      <c r="N348" s="14" t="s">
        <v>927</v>
      </c>
      <c r="O348" s="12">
        <f t="shared" si="15"/>
        <v>10</v>
      </c>
      <c r="P348" t="str">
        <f t="shared" si="17"/>
        <v>20235131</v>
      </c>
      <c r="Q348">
        <f t="shared" si="16"/>
        <v>2</v>
      </c>
      <c r="R348" s="21"/>
    </row>
    <row r="349" spans="1:18" x14ac:dyDescent="0.3">
      <c r="A349" s="14">
        <v>7365</v>
      </c>
      <c r="B349" s="8" t="s">
        <v>96</v>
      </c>
      <c r="C349" s="15">
        <v>20235138</v>
      </c>
      <c r="D349" s="16">
        <v>8698902351386</v>
      </c>
      <c r="E349" s="14" t="s">
        <v>976</v>
      </c>
      <c r="F349" s="17" t="s">
        <v>977</v>
      </c>
      <c r="G349" s="18">
        <v>18</v>
      </c>
      <c r="H349" s="19">
        <v>18</v>
      </c>
      <c r="I349" s="18">
        <v>0</v>
      </c>
      <c r="J349" s="8" t="s">
        <v>100</v>
      </c>
      <c r="K349" s="14">
        <v>51149</v>
      </c>
      <c r="L349" s="14" t="s">
        <v>945</v>
      </c>
      <c r="M349" s="20" t="s">
        <v>237</v>
      </c>
      <c r="N349" s="14" t="s">
        <v>927</v>
      </c>
      <c r="O349" s="12">
        <f t="shared" si="15"/>
        <v>10</v>
      </c>
      <c r="P349" t="str">
        <f t="shared" si="17"/>
        <v>20235138</v>
      </c>
      <c r="Q349">
        <f t="shared" si="16"/>
        <v>0</v>
      </c>
      <c r="R349" s="21"/>
    </row>
    <row r="350" spans="1:18" x14ac:dyDescent="0.3">
      <c r="A350" s="14">
        <v>7344</v>
      </c>
      <c r="B350" s="8" t="s">
        <v>96</v>
      </c>
      <c r="C350" s="15">
        <v>20235141</v>
      </c>
      <c r="D350" s="16">
        <v>8698902351416</v>
      </c>
      <c r="E350" s="14" t="s">
        <v>978</v>
      </c>
      <c r="F350" s="17" t="s">
        <v>979</v>
      </c>
      <c r="G350" s="18">
        <v>10</v>
      </c>
      <c r="H350" s="19">
        <v>9</v>
      </c>
      <c r="I350" s="18">
        <v>0</v>
      </c>
      <c r="J350" s="8" t="s">
        <v>100</v>
      </c>
      <c r="K350" s="14">
        <v>59799</v>
      </c>
      <c r="L350" s="14" t="s">
        <v>945</v>
      </c>
      <c r="M350" s="20" t="s">
        <v>237</v>
      </c>
      <c r="N350" s="14" t="s">
        <v>927</v>
      </c>
      <c r="O350" s="12">
        <f t="shared" si="15"/>
        <v>10</v>
      </c>
      <c r="P350" t="str">
        <f t="shared" si="17"/>
        <v>20235141</v>
      </c>
      <c r="Q350">
        <f t="shared" si="16"/>
        <v>1</v>
      </c>
      <c r="R350" s="21"/>
    </row>
    <row r="351" spans="1:18" x14ac:dyDescent="0.3">
      <c r="A351" s="14">
        <v>7347</v>
      </c>
      <c r="B351" s="8" t="s">
        <v>96</v>
      </c>
      <c r="C351" s="15">
        <v>20234987</v>
      </c>
      <c r="D351" s="16">
        <v>8698902349871</v>
      </c>
      <c r="E351" s="14" t="s">
        <v>980</v>
      </c>
      <c r="F351" s="17" t="s">
        <v>981</v>
      </c>
      <c r="G351" s="18">
        <v>14</v>
      </c>
      <c r="H351" s="19">
        <v>12</v>
      </c>
      <c r="I351" s="18">
        <v>0</v>
      </c>
      <c r="J351" s="8" t="s">
        <v>100</v>
      </c>
      <c r="K351" s="14">
        <v>54349</v>
      </c>
      <c r="L351" s="14" t="s">
        <v>945</v>
      </c>
      <c r="M351" s="20" t="s">
        <v>237</v>
      </c>
      <c r="N351" s="14" t="s">
        <v>927</v>
      </c>
      <c r="O351" s="12">
        <f t="shared" si="15"/>
        <v>10</v>
      </c>
      <c r="P351" t="str">
        <f t="shared" si="17"/>
        <v>20234987</v>
      </c>
      <c r="Q351">
        <f t="shared" si="16"/>
        <v>2</v>
      </c>
      <c r="R351" s="21"/>
    </row>
    <row r="352" spans="1:18" x14ac:dyDescent="0.3">
      <c r="A352" s="14">
        <v>7478</v>
      </c>
      <c r="B352" s="8" t="s">
        <v>96</v>
      </c>
      <c r="C352" s="15">
        <v>20278289</v>
      </c>
      <c r="D352" s="16">
        <v>8698902782890</v>
      </c>
      <c r="E352" s="14" t="s">
        <v>982</v>
      </c>
      <c r="F352" s="17" t="s">
        <v>983</v>
      </c>
      <c r="G352" s="18">
        <v>14</v>
      </c>
      <c r="I352" s="18">
        <v>0</v>
      </c>
      <c r="J352" s="8" t="s">
        <v>100</v>
      </c>
      <c r="K352" s="14">
        <v>1999</v>
      </c>
      <c r="L352" s="14" t="s">
        <v>233</v>
      </c>
      <c r="M352" s="20" t="s">
        <v>237</v>
      </c>
      <c r="N352" s="14" t="s">
        <v>234</v>
      </c>
      <c r="O352" s="12">
        <f t="shared" si="15"/>
        <v>10</v>
      </c>
      <c r="P352" t="str">
        <f t="shared" si="17"/>
        <v>20278289</v>
      </c>
      <c r="Q352">
        <f t="shared" si="16"/>
        <v>14</v>
      </c>
      <c r="R352" s="21"/>
    </row>
    <row r="353" spans="1:18" x14ac:dyDescent="0.3">
      <c r="A353" s="14">
        <v>7102</v>
      </c>
      <c r="B353" s="8" t="s">
        <v>96</v>
      </c>
      <c r="C353" s="15" t="s">
        <v>984</v>
      </c>
      <c r="D353" s="16">
        <v>8806095513959</v>
      </c>
      <c r="E353" s="14" t="s">
        <v>985</v>
      </c>
      <c r="F353" s="17" t="s">
        <v>986</v>
      </c>
      <c r="G353" s="18">
        <v>3</v>
      </c>
      <c r="H353" s="19">
        <v>0</v>
      </c>
      <c r="I353" s="18">
        <v>0</v>
      </c>
      <c r="J353" s="8" t="s">
        <v>100</v>
      </c>
      <c r="K353" s="14">
        <v>6599</v>
      </c>
      <c r="L353" s="14" t="s">
        <v>886</v>
      </c>
      <c r="M353" s="20" t="s">
        <v>114</v>
      </c>
      <c r="N353" s="14" t="s">
        <v>130</v>
      </c>
      <c r="O353" s="12">
        <f t="shared" si="15"/>
        <v>10</v>
      </c>
      <c r="P353" t="str">
        <f t="shared" si="17"/>
        <v>MS23DG450</v>
      </c>
      <c r="Q353">
        <f t="shared" si="16"/>
        <v>3</v>
      </c>
      <c r="R353" s="21"/>
    </row>
    <row r="354" spans="1:18" x14ac:dyDescent="0.3">
      <c r="A354" s="14">
        <v>7103</v>
      </c>
      <c r="B354" s="8" t="s">
        <v>96</v>
      </c>
      <c r="C354" s="15" t="s">
        <v>987</v>
      </c>
      <c r="D354" s="16">
        <v>8806095512969</v>
      </c>
      <c r="E354" s="14" t="s">
        <v>988</v>
      </c>
      <c r="F354" s="17" t="s">
        <v>989</v>
      </c>
      <c r="G354" s="18">
        <v>4</v>
      </c>
      <c r="H354" s="19">
        <v>0</v>
      </c>
      <c r="I354" s="18">
        <v>0</v>
      </c>
      <c r="J354" s="8" t="s">
        <v>100</v>
      </c>
      <c r="K354" s="14">
        <v>6599</v>
      </c>
      <c r="L354" s="14" t="s">
        <v>886</v>
      </c>
      <c r="M354" s="20" t="s">
        <v>114</v>
      </c>
      <c r="N354" s="14" t="s">
        <v>130</v>
      </c>
      <c r="O354" s="12">
        <f t="shared" si="15"/>
        <v>10</v>
      </c>
      <c r="P354" t="str">
        <f t="shared" si="17"/>
        <v>MS23DG450</v>
      </c>
      <c r="Q354">
        <f t="shared" si="16"/>
        <v>4</v>
      </c>
      <c r="R354" s="21"/>
    </row>
    <row r="355" spans="1:18" x14ac:dyDescent="0.3">
      <c r="A355" s="14">
        <v>3532</v>
      </c>
      <c r="B355" s="8" t="s">
        <v>96</v>
      </c>
      <c r="C355" s="15" t="s">
        <v>990</v>
      </c>
      <c r="D355" s="16">
        <v>8806088331447</v>
      </c>
      <c r="E355" s="14" t="s">
        <v>991</v>
      </c>
      <c r="F355" s="17" t="s">
        <v>992</v>
      </c>
      <c r="G355" s="18">
        <v>2</v>
      </c>
      <c r="H355" s="19">
        <v>0</v>
      </c>
      <c r="I355" s="18">
        <v>0</v>
      </c>
      <c r="J355" s="8" t="s">
        <v>100</v>
      </c>
      <c r="K355" s="14">
        <v>7199</v>
      </c>
      <c r="L355" s="14" t="s">
        <v>886</v>
      </c>
      <c r="M355" s="20" t="s">
        <v>114</v>
      </c>
      <c r="N355" s="14" t="s">
        <v>130</v>
      </c>
      <c r="O355" s="12">
        <f t="shared" si="15"/>
        <v>10</v>
      </c>
      <c r="P355" t="str">
        <f t="shared" si="17"/>
        <v>MS23K3555</v>
      </c>
      <c r="Q355">
        <f t="shared" si="16"/>
        <v>2</v>
      </c>
      <c r="R355" s="21"/>
    </row>
    <row r="356" spans="1:18" x14ac:dyDescent="0.3">
      <c r="A356" s="14">
        <v>7015</v>
      </c>
      <c r="B356" s="8" t="s">
        <v>96</v>
      </c>
      <c r="C356" s="15" t="s">
        <v>993</v>
      </c>
      <c r="D356" s="16">
        <v>8806095512952</v>
      </c>
      <c r="E356" s="14" t="s">
        <v>994</v>
      </c>
      <c r="F356" s="17" t="s">
        <v>995</v>
      </c>
      <c r="G356" s="18">
        <v>6</v>
      </c>
      <c r="H356" s="19">
        <v>0</v>
      </c>
      <c r="I356" s="18">
        <v>0</v>
      </c>
      <c r="J356" s="8" t="s">
        <v>100</v>
      </c>
      <c r="K356" s="14">
        <v>7199</v>
      </c>
      <c r="L356" s="14" t="s">
        <v>886</v>
      </c>
      <c r="M356" s="20" t="s">
        <v>114</v>
      </c>
      <c r="N356" s="14" t="s">
        <v>130</v>
      </c>
      <c r="O356" s="12">
        <f t="shared" si="15"/>
        <v>10</v>
      </c>
      <c r="P356" t="str">
        <f t="shared" si="17"/>
        <v>MG23DG452</v>
      </c>
      <c r="Q356">
        <f t="shared" si="16"/>
        <v>6</v>
      </c>
      <c r="R356" s="21"/>
    </row>
    <row r="357" spans="1:18" x14ac:dyDescent="0.3">
      <c r="A357" s="14">
        <v>7456</v>
      </c>
      <c r="B357" s="8" t="s">
        <v>96</v>
      </c>
      <c r="C357" s="15" t="s">
        <v>996</v>
      </c>
      <c r="D357" s="16">
        <v>8806094936674</v>
      </c>
      <c r="E357" s="14" t="s">
        <v>997</v>
      </c>
      <c r="F357" s="17" t="s">
        <v>998</v>
      </c>
      <c r="G357" s="18">
        <v>34</v>
      </c>
      <c r="H357" s="19">
        <v>0</v>
      </c>
      <c r="I357" s="18">
        <v>1</v>
      </c>
      <c r="J357" s="8" t="s">
        <v>100</v>
      </c>
      <c r="K357" s="14">
        <v>4999</v>
      </c>
      <c r="L357" s="14" t="s">
        <v>886</v>
      </c>
      <c r="M357" s="20" t="s">
        <v>114</v>
      </c>
      <c r="N357" s="14" t="s">
        <v>130</v>
      </c>
      <c r="O357" s="12">
        <f t="shared" si="15"/>
        <v>10</v>
      </c>
      <c r="P357" t="str">
        <f t="shared" si="17"/>
        <v>MS20A3010</v>
      </c>
      <c r="Q357">
        <f t="shared" si="16"/>
        <v>34</v>
      </c>
      <c r="R357" s="21"/>
    </row>
    <row r="358" spans="1:18" x14ac:dyDescent="0.3">
      <c r="A358" s="14">
        <v>7204</v>
      </c>
      <c r="B358" s="8" t="s">
        <v>96</v>
      </c>
      <c r="C358" s="15" t="s">
        <v>999</v>
      </c>
      <c r="D358" s="16">
        <v>8806095678603</v>
      </c>
      <c r="E358" s="14" t="s">
        <v>1000</v>
      </c>
      <c r="F358" s="17" t="s">
        <v>1001</v>
      </c>
      <c r="G358" s="18">
        <v>10</v>
      </c>
      <c r="H358" s="19">
        <v>0</v>
      </c>
      <c r="I358" s="18">
        <v>0</v>
      </c>
      <c r="J358" s="8" t="s">
        <v>100</v>
      </c>
      <c r="K358" s="14">
        <v>5999</v>
      </c>
      <c r="L358" s="14" t="s">
        <v>886</v>
      </c>
      <c r="M358" s="20" t="s">
        <v>114</v>
      </c>
      <c r="N358" s="14" t="s">
        <v>130</v>
      </c>
      <c r="O358" s="12">
        <f t="shared" si="15"/>
        <v>10</v>
      </c>
      <c r="P358" t="str">
        <f t="shared" si="17"/>
        <v>MS23K3614</v>
      </c>
      <c r="Q358">
        <f t="shared" si="16"/>
        <v>10</v>
      </c>
      <c r="R358" s="21"/>
    </row>
    <row r="359" spans="1:18" x14ac:dyDescent="0.3">
      <c r="A359" s="14">
        <v>6355</v>
      </c>
      <c r="B359" s="8" t="s">
        <v>96</v>
      </c>
      <c r="C359" s="15">
        <v>20263605</v>
      </c>
      <c r="D359" s="16">
        <v>8698902636056</v>
      </c>
      <c r="E359" s="14" t="s">
        <v>1002</v>
      </c>
      <c r="F359" s="17" t="s">
        <v>1003</v>
      </c>
      <c r="G359" s="18">
        <v>10</v>
      </c>
      <c r="H359" s="19">
        <v>0</v>
      </c>
      <c r="I359" s="18">
        <v>0</v>
      </c>
      <c r="J359" s="8" t="s">
        <v>100</v>
      </c>
      <c r="K359" s="14">
        <v>5749</v>
      </c>
      <c r="L359" s="14" t="s">
        <v>886</v>
      </c>
      <c r="M359" s="20" t="s">
        <v>237</v>
      </c>
      <c r="N359" s="14" t="s">
        <v>130</v>
      </c>
      <c r="O359" s="12">
        <f t="shared" si="15"/>
        <v>10</v>
      </c>
      <c r="P359" t="str">
        <f t="shared" si="17"/>
        <v>20263605</v>
      </c>
      <c r="Q359">
        <f t="shared" si="16"/>
        <v>10</v>
      </c>
      <c r="R359" s="21"/>
    </row>
    <row r="360" spans="1:18" x14ac:dyDescent="0.3">
      <c r="A360" s="14">
        <v>6341</v>
      </c>
      <c r="B360" s="8" t="s">
        <v>96</v>
      </c>
      <c r="C360" s="15">
        <v>20263604</v>
      </c>
      <c r="E360" s="14" t="s">
        <v>1004</v>
      </c>
      <c r="F360" s="17" t="s">
        <v>1005</v>
      </c>
      <c r="G360" s="18">
        <v>1</v>
      </c>
      <c r="H360" s="19">
        <v>0</v>
      </c>
      <c r="I360" s="18">
        <v>0</v>
      </c>
      <c r="J360" s="8" t="s">
        <v>100</v>
      </c>
      <c r="K360" s="14">
        <v>5449</v>
      </c>
      <c r="L360" s="14" t="s">
        <v>886</v>
      </c>
      <c r="M360" s="20" t="s">
        <v>237</v>
      </c>
      <c r="N360" s="14" t="s">
        <v>130</v>
      </c>
      <c r="O360" s="12">
        <f t="shared" si="15"/>
        <v>10</v>
      </c>
      <c r="P360" t="str">
        <f t="shared" si="17"/>
        <v>20263604</v>
      </c>
      <c r="Q360">
        <f t="shared" si="16"/>
        <v>1</v>
      </c>
      <c r="R360" s="21"/>
    </row>
    <row r="361" spans="1:18" x14ac:dyDescent="0.3">
      <c r="A361" s="14">
        <v>6280</v>
      </c>
      <c r="B361" s="8" t="s">
        <v>96</v>
      </c>
      <c r="C361" s="15">
        <v>20263000</v>
      </c>
      <c r="D361" s="16">
        <v>8698902630009</v>
      </c>
      <c r="E361" s="14" t="s">
        <v>1006</v>
      </c>
      <c r="F361" s="17" t="s">
        <v>1007</v>
      </c>
      <c r="G361" s="18">
        <v>3</v>
      </c>
      <c r="H361" s="19">
        <v>0</v>
      </c>
      <c r="I361" s="18">
        <v>0</v>
      </c>
      <c r="J361" s="8" t="s">
        <v>100</v>
      </c>
      <c r="K361" s="14">
        <v>5749</v>
      </c>
      <c r="L361" s="14" t="s">
        <v>886</v>
      </c>
      <c r="M361" s="20" t="s">
        <v>237</v>
      </c>
      <c r="N361" s="14" t="s">
        <v>130</v>
      </c>
      <c r="O361" s="12">
        <f t="shared" si="15"/>
        <v>10</v>
      </c>
      <c r="P361" t="str">
        <f t="shared" si="17"/>
        <v>20263000</v>
      </c>
      <c r="Q361">
        <f t="shared" si="16"/>
        <v>3</v>
      </c>
      <c r="R361" s="21"/>
    </row>
    <row r="362" spans="1:18" x14ac:dyDescent="0.3">
      <c r="A362" s="14">
        <v>6123</v>
      </c>
      <c r="B362" s="8" t="s">
        <v>96</v>
      </c>
      <c r="C362" s="15">
        <v>20263473</v>
      </c>
      <c r="D362" s="16">
        <v>8698902634731</v>
      </c>
      <c r="E362" s="14" t="s">
        <v>1008</v>
      </c>
      <c r="F362" s="17" t="s">
        <v>1009</v>
      </c>
      <c r="G362" s="18">
        <v>2</v>
      </c>
      <c r="H362" s="19">
        <v>0</v>
      </c>
      <c r="I362" s="18">
        <v>1</v>
      </c>
      <c r="J362" s="8" t="s">
        <v>100</v>
      </c>
      <c r="K362" s="14">
        <v>4599</v>
      </c>
      <c r="L362" s="14" t="s">
        <v>886</v>
      </c>
      <c r="M362" s="20" t="s">
        <v>237</v>
      </c>
      <c r="N362" s="14" t="s">
        <v>130</v>
      </c>
      <c r="O362" s="12">
        <f t="shared" si="15"/>
        <v>10</v>
      </c>
      <c r="P362" t="str">
        <f t="shared" si="17"/>
        <v>20263473</v>
      </c>
      <c r="Q362">
        <f t="shared" si="16"/>
        <v>2</v>
      </c>
      <c r="R362" s="21"/>
    </row>
    <row r="363" spans="1:18" x14ac:dyDescent="0.3">
      <c r="A363" s="14">
        <v>6385</v>
      </c>
      <c r="B363" s="8" t="s">
        <v>96</v>
      </c>
      <c r="C363" s="15">
        <v>20265423</v>
      </c>
      <c r="D363" s="16">
        <v>8698902654234</v>
      </c>
      <c r="E363" s="14" t="s">
        <v>1010</v>
      </c>
      <c r="F363" s="17" t="s">
        <v>1011</v>
      </c>
      <c r="G363" s="18">
        <v>2</v>
      </c>
      <c r="H363" s="19">
        <v>0</v>
      </c>
      <c r="I363" s="18">
        <v>0</v>
      </c>
      <c r="J363" s="8" t="s">
        <v>100</v>
      </c>
      <c r="K363" s="14">
        <v>4599</v>
      </c>
      <c r="L363" s="14" t="s">
        <v>886</v>
      </c>
      <c r="M363" s="20" t="s">
        <v>237</v>
      </c>
      <c r="N363" s="14" t="s">
        <v>130</v>
      </c>
      <c r="O363" s="12">
        <f t="shared" si="15"/>
        <v>10</v>
      </c>
      <c r="P363" t="str">
        <f t="shared" si="17"/>
        <v>20265423</v>
      </c>
      <c r="Q363">
        <f t="shared" si="16"/>
        <v>2</v>
      </c>
      <c r="R363" s="21"/>
    </row>
    <row r="364" spans="1:18" x14ac:dyDescent="0.3">
      <c r="A364" s="14">
        <v>6380</v>
      </c>
      <c r="B364" s="8" t="s">
        <v>96</v>
      </c>
      <c r="C364" s="15" t="s">
        <v>1012</v>
      </c>
      <c r="D364" s="16">
        <v>8710103866824</v>
      </c>
      <c r="E364" s="14" t="s">
        <v>1013</v>
      </c>
      <c r="F364" s="17" t="s">
        <v>1014</v>
      </c>
      <c r="G364" s="18">
        <v>4</v>
      </c>
      <c r="H364" s="19">
        <v>0</v>
      </c>
      <c r="I364" s="18">
        <v>0</v>
      </c>
      <c r="J364" s="8" t="s">
        <v>100</v>
      </c>
      <c r="K364" s="14">
        <v>1399</v>
      </c>
      <c r="L364" s="14" t="s">
        <v>874</v>
      </c>
      <c r="M364" s="20" t="s">
        <v>102</v>
      </c>
      <c r="N364" s="14" t="s">
        <v>103</v>
      </c>
      <c r="O364" s="12">
        <f t="shared" si="15"/>
        <v>10</v>
      </c>
      <c r="P364" t="str">
        <f t="shared" si="17"/>
        <v>HR3705/10</v>
      </c>
      <c r="Q364">
        <f t="shared" si="16"/>
        <v>4</v>
      </c>
      <c r="R364" s="21"/>
    </row>
    <row r="365" spans="1:18" x14ac:dyDescent="0.3">
      <c r="A365" s="14">
        <v>6698</v>
      </c>
      <c r="B365" s="8" t="s">
        <v>96</v>
      </c>
      <c r="C365" s="15" t="s">
        <v>1015</v>
      </c>
      <c r="D365" s="16">
        <v>8710103718475</v>
      </c>
      <c r="E365" s="14" t="s">
        <v>1016</v>
      </c>
      <c r="F365" s="17" t="s">
        <v>1017</v>
      </c>
      <c r="G365" s="18">
        <v>4</v>
      </c>
      <c r="H365" s="19">
        <v>0</v>
      </c>
      <c r="I365" s="18">
        <v>0</v>
      </c>
      <c r="J365" s="8" t="s">
        <v>100</v>
      </c>
      <c r="K365" s="14">
        <v>8049</v>
      </c>
      <c r="L365" s="14" t="s">
        <v>874</v>
      </c>
      <c r="M365" s="20" t="s">
        <v>102</v>
      </c>
      <c r="N365" s="14" t="s">
        <v>103</v>
      </c>
      <c r="O365" s="12">
        <f t="shared" si="15"/>
        <v>10</v>
      </c>
      <c r="P365" t="str">
        <f t="shared" si="17"/>
        <v>HR1863/20</v>
      </c>
      <c r="Q365">
        <f t="shared" si="16"/>
        <v>4</v>
      </c>
      <c r="R365" s="21"/>
    </row>
    <row r="366" spans="1:18" x14ac:dyDescent="0.3">
      <c r="A366" s="14">
        <v>6696</v>
      </c>
      <c r="B366" s="8" t="s">
        <v>96</v>
      </c>
      <c r="C366" s="15" t="s">
        <v>1018</v>
      </c>
      <c r="D366" s="16">
        <v>8710103914440</v>
      </c>
      <c r="E366" s="14" t="s">
        <v>1019</v>
      </c>
      <c r="F366" s="17" t="s">
        <v>1020</v>
      </c>
      <c r="G366" s="18">
        <v>6</v>
      </c>
      <c r="H366" s="19">
        <v>0</v>
      </c>
      <c r="I366" s="18">
        <v>1</v>
      </c>
      <c r="J366" s="8" t="s">
        <v>100</v>
      </c>
      <c r="K366" s="14">
        <v>2399</v>
      </c>
      <c r="L366" s="14" t="s">
        <v>874</v>
      </c>
      <c r="M366" s="20" t="s">
        <v>102</v>
      </c>
      <c r="N366" s="14" t="s">
        <v>103</v>
      </c>
      <c r="O366" s="12">
        <f t="shared" si="15"/>
        <v>10</v>
      </c>
      <c r="P366" t="str">
        <f t="shared" si="17"/>
        <v>HR2534/00</v>
      </c>
      <c r="Q366">
        <f t="shared" si="16"/>
        <v>6</v>
      </c>
      <c r="R366" s="21"/>
    </row>
    <row r="367" spans="1:18" x14ac:dyDescent="0.3">
      <c r="A367" s="14">
        <v>6694</v>
      </c>
      <c r="B367" s="8" t="s">
        <v>96</v>
      </c>
      <c r="C367" s="15" t="s">
        <v>1021</v>
      </c>
      <c r="D367" s="16">
        <v>8710103877899</v>
      </c>
      <c r="E367" s="14" t="s">
        <v>1022</v>
      </c>
      <c r="F367" s="17" t="s">
        <v>1023</v>
      </c>
      <c r="G367" s="18">
        <v>6</v>
      </c>
      <c r="H367" s="19">
        <v>0</v>
      </c>
      <c r="I367" s="18">
        <v>1</v>
      </c>
      <c r="J367" s="8" t="s">
        <v>100</v>
      </c>
      <c r="K367" s="14">
        <v>4899</v>
      </c>
      <c r="L367" s="14" t="s">
        <v>874</v>
      </c>
      <c r="M367" s="20" t="s">
        <v>102</v>
      </c>
      <c r="N367" s="14" t="s">
        <v>103</v>
      </c>
      <c r="O367" s="12">
        <f t="shared" si="15"/>
        <v>10</v>
      </c>
      <c r="P367" t="str">
        <f t="shared" si="17"/>
        <v>HR2653/90</v>
      </c>
      <c r="Q367">
        <f t="shared" si="16"/>
        <v>6</v>
      </c>
      <c r="R367" s="21"/>
    </row>
    <row r="368" spans="1:18" x14ac:dyDescent="0.3">
      <c r="A368" s="14">
        <v>7125</v>
      </c>
      <c r="B368" s="8" t="s">
        <v>96</v>
      </c>
      <c r="C368" s="15" t="s">
        <v>1024</v>
      </c>
      <c r="D368" s="16">
        <v>8720389038129</v>
      </c>
      <c r="E368" s="14" t="s">
        <v>1025</v>
      </c>
      <c r="F368" s="17" t="s">
        <v>1026</v>
      </c>
      <c r="G368" s="18">
        <v>4</v>
      </c>
      <c r="H368" s="19">
        <v>0</v>
      </c>
      <c r="I368" s="18">
        <v>0</v>
      </c>
      <c r="J368" s="8" t="s">
        <v>100</v>
      </c>
      <c r="K368" s="14">
        <v>4499</v>
      </c>
      <c r="L368" s="14" t="s">
        <v>874</v>
      </c>
      <c r="M368" s="20" t="s">
        <v>102</v>
      </c>
      <c r="N368" s="14" t="s">
        <v>103</v>
      </c>
      <c r="O368" s="12">
        <f t="shared" si="15"/>
        <v>10</v>
      </c>
      <c r="P368" t="str">
        <f t="shared" si="17"/>
        <v>HR2695/01</v>
      </c>
      <c r="Q368">
        <f t="shared" si="16"/>
        <v>4</v>
      </c>
      <c r="R368" s="21"/>
    </row>
    <row r="369" spans="1:18" x14ac:dyDescent="0.3">
      <c r="A369" s="14">
        <v>7280</v>
      </c>
      <c r="B369" s="8" t="s">
        <v>96</v>
      </c>
      <c r="C369" s="15" t="s">
        <v>1027</v>
      </c>
      <c r="D369" s="16">
        <v>8720389032554</v>
      </c>
      <c r="E369" s="14" t="s">
        <v>1028</v>
      </c>
      <c r="F369" s="17" t="s">
        <v>1029</v>
      </c>
      <c r="G369" s="18">
        <v>11</v>
      </c>
      <c r="H369" s="19">
        <v>0</v>
      </c>
      <c r="I369" s="18">
        <v>0</v>
      </c>
      <c r="J369" s="8" t="s">
        <v>100</v>
      </c>
      <c r="K369" s="14">
        <v>3749</v>
      </c>
      <c r="L369" s="14" t="s">
        <v>874</v>
      </c>
      <c r="M369" s="20" t="s">
        <v>102</v>
      </c>
      <c r="N369" s="14" t="s">
        <v>103</v>
      </c>
      <c r="O369" s="12">
        <f t="shared" si="15"/>
        <v>10</v>
      </c>
      <c r="P369" t="str">
        <f t="shared" si="17"/>
        <v>HR2764/00</v>
      </c>
      <c r="Q369">
        <f t="shared" si="16"/>
        <v>11</v>
      </c>
      <c r="R369" s="21"/>
    </row>
    <row r="370" spans="1:18" x14ac:dyDescent="0.3">
      <c r="A370" s="14">
        <v>7434</v>
      </c>
      <c r="B370" s="8" t="s">
        <v>96</v>
      </c>
      <c r="C370" s="15" t="s">
        <v>1030</v>
      </c>
      <c r="D370" s="16">
        <v>8720389032639</v>
      </c>
      <c r="E370" s="14" t="s">
        <v>1031</v>
      </c>
      <c r="F370" s="17" t="s">
        <v>1032</v>
      </c>
      <c r="G370" s="18">
        <v>2</v>
      </c>
      <c r="H370" s="19">
        <v>0</v>
      </c>
      <c r="I370" s="18">
        <v>0</v>
      </c>
      <c r="J370" s="8" t="s">
        <v>100</v>
      </c>
      <c r="K370" s="14">
        <v>5999</v>
      </c>
      <c r="L370" s="14" t="s">
        <v>874</v>
      </c>
      <c r="M370" s="20" t="s">
        <v>102</v>
      </c>
      <c r="N370" s="14" t="s">
        <v>103</v>
      </c>
      <c r="O370" s="12">
        <f t="shared" si="15"/>
        <v>10</v>
      </c>
      <c r="P370" t="str">
        <f t="shared" si="17"/>
        <v>HR3030/00</v>
      </c>
      <c r="Q370">
        <f t="shared" si="16"/>
        <v>2</v>
      </c>
      <c r="R370" s="21"/>
    </row>
    <row r="371" spans="1:18" x14ac:dyDescent="0.3">
      <c r="A371" s="14">
        <v>7119</v>
      </c>
      <c r="B371" s="8" t="s">
        <v>96</v>
      </c>
      <c r="C371" s="15" t="s">
        <v>1033</v>
      </c>
      <c r="D371" s="16">
        <v>8710103867067</v>
      </c>
      <c r="E371" s="14" t="s">
        <v>1034</v>
      </c>
      <c r="F371" s="17" t="s">
        <v>1035</v>
      </c>
      <c r="G371" s="18">
        <v>3</v>
      </c>
      <c r="H371" s="19">
        <v>0</v>
      </c>
      <c r="I371" s="18">
        <v>0</v>
      </c>
      <c r="J371" s="8" t="s">
        <v>100</v>
      </c>
      <c r="K371" s="14">
        <v>1549</v>
      </c>
      <c r="L371" s="14" t="s">
        <v>874</v>
      </c>
      <c r="M371" s="20" t="s">
        <v>102</v>
      </c>
      <c r="N371" s="14" t="s">
        <v>103</v>
      </c>
      <c r="O371" s="12">
        <f t="shared" si="15"/>
        <v>10</v>
      </c>
      <c r="P371" t="str">
        <f t="shared" si="17"/>
        <v>HR3702/00</v>
      </c>
      <c r="Q371">
        <f t="shared" si="16"/>
        <v>3</v>
      </c>
      <c r="R371" s="21"/>
    </row>
    <row r="372" spans="1:18" x14ac:dyDescent="0.3">
      <c r="A372" s="14">
        <v>6709</v>
      </c>
      <c r="B372" s="8" t="s">
        <v>96</v>
      </c>
      <c r="C372" s="15">
        <v>20276783</v>
      </c>
      <c r="D372" s="16">
        <v>8698902767835</v>
      </c>
      <c r="E372" s="14" t="s">
        <v>1036</v>
      </c>
      <c r="F372" s="17" t="s">
        <v>1037</v>
      </c>
      <c r="G372" s="18">
        <v>274</v>
      </c>
      <c r="H372" s="19">
        <v>0</v>
      </c>
      <c r="I372" s="18">
        <v>0</v>
      </c>
      <c r="J372" s="8" t="s">
        <v>100</v>
      </c>
      <c r="K372" s="14">
        <v>1199</v>
      </c>
      <c r="L372" s="14" t="s">
        <v>874</v>
      </c>
      <c r="M372" s="20" t="s">
        <v>237</v>
      </c>
      <c r="N372" s="14" t="s">
        <v>234</v>
      </c>
      <c r="O372" s="12">
        <f t="shared" si="15"/>
        <v>10</v>
      </c>
      <c r="P372" t="str">
        <f t="shared" si="17"/>
        <v>20276783</v>
      </c>
      <c r="Q372">
        <f t="shared" si="16"/>
        <v>274</v>
      </c>
      <c r="R372" s="21"/>
    </row>
    <row r="373" spans="1:18" x14ac:dyDescent="0.3">
      <c r="A373" s="14">
        <v>6829</v>
      </c>
      <c r="B373" s="8" t="s">
        <v>96</v>
      </c>
      <c r="C373" s="15">
        <v>20244518</v>
      </c>
      <c r="D373" s="16">
        <v>8698902445184</v>
      </c>
      <c r="E373" s="14" t="s">
        <v>1038</v>
      </c>
      <c r="F373" s="17" t="s">
        <v>1039</v>
      </c>
      <c r="G373" s="18">
        <v>7</v>
      </c>
      <c r="H373" s="19">
        <v>0</v>
      </c>
      <c r="I373" s="18">
        <v>0</v>
      </c>
      <c r="J373" s="8" t="s">
        <v>100</v>
      </c>
      <c r="K373" s="14">
        <v>1199</v>
      </c>
      <c r="L373" s="14" t="s">
        <v>874</v>
      </c>
      <c r="M373" s="20" t="s">
        <v>237</v>
      </c>
      <c r="N373" s="14" t="s">
        <v>234</v>
      </c>
      <c r="O373" s="12">
        <f t="shared" si="15"/>
        <v>10</v>
      </c>
      <c r="P373" t="str">
        <f t="shared" si="17"/>
        <v>20244518</v>
      </c>
      <c r="Q373">
        <f t="shared" si="16"/>
        <v>7</v>
      </c>
      <c r="R373" s="21"/>
    </row>
    <row r="374" spans="1:18" x14ac:dyDescent="0.3">
      <c r="A374" s="14">
        <v>6511</v>
      </c>
      <c r="B374" s="8" t="s">
        <v>96</v>
      </c>
      <c r="C374" s="15">
        <v>20244344</v>
      </c>
      <c r="D374" s="16">
        <v>8698902443449</v>
      </c>
      <c r="E374" s="14" t="s">
        <v>1040</v>
      </c>
      <c r="F374" s="17" t="s">
        <v>1041</v>
      </c>
      <c r="G374" s="18">
        <v>1</v>
      </c>
      <c r="H374" s="19">
        <v>0</v>
      </c>
      <c r="I374" s="18">
        <v>0</v>
      </c>
      <c r="J374" s="8" t="s">
        <v>100</v>
      </c>
      <c r="K374" s="14">
        <v>2799</v>
      </c>
      <c r="L374" s="14" t="s">
        <v>874</v>
      </c>
      <c r="M374" s="20" t="s">
        <v>237</v>
      </c>
      <c r="N374" s="14" t="s">
        <v>103</v>
      </c>
      <c r="O374" s="12">
        <f t="shared" si="15"/>
        <v>10</v>
      </c>
      <c r="P374" t="str">
        <f t="shared" si="17"/>
        <v>20244344</v>
      </c>
      <c r="Q374">
        <f t="shared" si="16"/>
        <v>1</v>
      </c>
      <c r="R374" s="21"/>
    </row>
    <row r="375" spans="1:18" x14ac:dyDescent="0.3">
      <c r="A375" s="14">
        <v>6512</v>
      </c>
      <c r="B375" s="8" t="s">
        <v>96</v>
      </c>
      <c r="C375" s="15">
        <v>20244343</v>
      </c>
      <c r="D375" s="16">
        <v>8698902443432</v>
      </c>
      <c r="E375" s="14" t="s">
        <v>1042</v>
      </c>
      <c r="F375" s="17" t="s">
        <v>1043</v>
      </c>
      <c r="G375" s="18">
        <v>8</v>
      </c>
      <c r="H375" s="19">
        <v>0</v>
      </c>
      <c r="I375" s="18">
        <v>0</v>
      </c>
      <c r="J375" s="8" t="s">
        <v>100</v>
      </c>
      <c r="K375" s="14">
        <v>2799</v>
      </c>
      <c r="L375" s="14" t="s">
        <v>874</v>
      </c>
      <c r="M375" s="20" t="s">
        <v>237</v>
      </c>
      <c r="N375" s="14" t="s">
        <v>103</v>
      </c>
      <c r="O375" s="12">
        <f t="shared" si="15"/>
        <v>10</v>
      </c>
      <c r="P375" t="str">
        <f t="shared" si="17"/>
        <v>20244343</v>
      </c>
      <c r="Q375">
        <f t="shared" si="16"/>
        <v>8</v>
      </c>
      <c r="R375" s="21"/>
    </row>
    <row r="376" spans="1:18" x14ac:dyDescent="0.3">
      <c r="A376" s="14">
        <v>6510</v>
      </c>
      <c r="B376" s="8" t="s">
        <v>96</v>
      </c>
      <c r="C376" s="15">
        <v>20244345</v>
      </c>
      <c r="D376" s="16">
        <v>8698902443456</v>
      </c>
      <c r="E376" s="14" t="s">
        <v>1044</v>
      </c>
      <c r="F376" s="17" t="s">
        <v>1045</v>
      </c>
      <c r="G376" s="18">
        <v>4</v>
      </c>
      <c r="H376" s="19">
        <v>0</v>
      </c>
      <c r="I376" s="18">
        <v>0</v>
      </c>
      <c r="J376" s="8" t="s">
        <v>100</v>
      </c>
      <c r="K376" s="14">
        <v>2799</v>
      </c>
      <c r="L376" s="14" t="s">
        <v>874</v>
      </c>
      <c r="M376" s="20" t="s">
        <v>237</v>
      </c>
      <c r="N376" s="14" t="s">
        <v>103</v>
      </c>
      <c r="O376" s="12">
        <f t="shared" si="15"/>
        <v>10</v>
      </c>
      <c r="P376" t="str">
        <f t="shared" si="17"/>
        <v>20244345</v>
      </c>
      <c r="Q376">
        <f t="shared" si="16"/>
        <v>4</v>
      </c>
      <c r="R376" s="21"/>
    </row>
    <row r="377" spans="1:18" x14ac:dyDescent="0.3">
      <c r="A377" s="14">
        <v>6670</v>
      </c>
      <c r="B377" s="8" t="s">
        <v>96</v>
      </c>
      <c r="C377" s="15">
        <v>20244315</v>
      </c>
      <c r="D377" s="16">
        <v>8698902443159</v>
      </c>
      <c r="E377" s="14" t="s">
        <v>1046</v>
      </c>
      <c r="F377" s="17" t="s">
        <v>1047</v>
      </c>
      <c r="G377" s="18">
        <v>1</v>
      </c>
      <c r="H377" s="19">
        <v>0</v>
      </c>
      <c r="I377" s="18">
        <v>0</v>
      </c>
      <c r="J377" s="8" t="s">
        <v>100</v>
      </c>
      <c r="K377" s="14">
        <v>1949</v>
      </c>
      <c r="L377" s="14" t="s">
        <v>874</v>
      </c>
      <c r="M377" s="20" t="s">
        <v>237</v>
      </c>
      <c r="N377" s="14" t="s">
        <v>103</v>
      </c>
      <c r="O377" s="12">
        <f t="shared" si="15"/>
        <v>10</v>
      </c>
      <c r="P377" t="str">
        <f t="shared" si="17"/>
        <v>20244315</v>
      </c>
      <c r="Q377">
        <f t="shared" si="16"/>
        <v>1</v>
      </c>
      <c r="R377" s="21"/>
    </row>
    <row r="378" spans="1:18" x14ac:dyDescent="0.3">
      <c r="A378" s="14">
        <v>5940</v>
      </c>
      <c r="B378" s="8" t="s">
        <v>96</v>
      </c>
      <c r="C378" s="15">
        <v>20244313</v>
      </c>
      <c r="D378" s="16">
        <v>8698902443135</v>
      </c>
      <c r="E378" s="14" t="s">
        <v>1048</v>
      </c>
      <c r="F378" s="17" t="s">
        <v>1049</v>
      </c>
      <c r="G378" s="18">
        <v>3</v>
      </c>
      <c r="H378" s="19">
        <v>0</v>
      </c>
      <c r="I378" s="18">
        <v>0</v>
      </c>
      <c r="J378" s="8" t="s">
        <v>100</v>
      </c>
      <c r="K378" s="14">
        <v>1949</v>
      </c>
      <c r="L378" s="14" t="s">
        <v>874</v>
      </c>
      <c r="M378" s="20" t="s">
        <v>237</v>
      </c>
      <c r="N378" s="14" t="s">
        <v>103</v>
      </c>
      <c r="O378" s="12">
        <f t="shared" si="15"/>
        <v>10</v>
      </c>
      <c r="P378" t="str">
        <f t="shared" si="17"/>
        <v>20244313</v>
      </c>
      <c r="Q378">
        <f t="shared" si="16"/>
        <v>3</v>
      </c>
      <c r="R378" s="21"/>
    </row>
    <row r="379" spans="1:18" x14ac:dyDescent="0.3">
      <c r="A379" s="14">
        <v>6390</v>
      </c>
      <c r="B379" s="8" t="s">
        <v>96</v>
      </c>
      <c r="C379" s="15">
        <v>20244526</v>
      </c>
      <c r="D379" s="16">
        <v>8698902445269</v>
      </c>
      <c r="E379" s="14" t="s">
        <v>1050</v>
      </c>
      <c r="F379" s="17" t="s">
        <v>1051</v>
      </c>
      <c r="G379" s="18">
        <v>1</v>
      </c>
      <c r="H379" s="19">
        <v>0</v>
      </c>
      <c r="I379" s="18">
        <v>0</v>
      </c>
      <c r="J379" s="8" t="s">
        <v>100</v>
      </c>
      <c r="K379" s="14">
        <v>4099</v>
      </c>
      <c r="L379" s="14" t="s">
        <v>874</v>
      </c>
      <c r="M379" s="20" t="s">
        <v>237</v>
      </c>
      <c r="N379" s="14" t="s">
        <v>103</v>
      </c>
      <c r="O379" s="12">
        <f t="shared" si="15"/>
        <v>10</v>
      </c>
      <c r="P379" t="str">
        <f t="shared" si="17"/>
        <v>20244526</v>
      </c>
      <c r="Q379">
        <f t="shared" si="16"/>
        <v>1</v>
      </c>
      <c r="R379" s="21"/>
    </row>
    <row r="380" spans="1:18" x14ac:dyDescent="0.3">
      <c r="A380" s="14">
        <v>6814</v>
      </c>
      <c r="B380" s="8" t="s">
        <v>96</v>
      </c>
      <c r="C380" s="15">
        <v>20244574</v>
      </c>
      <c r="D380" s="16">
        <v>8698902445740</v>
      </c>
      <c r="E380" s="14" t="s">
        <v>1052</v>
      </c>
      <c r="F380" s="17" t="s">
        <v>1053</v>
      </c>
      <c r="G380" s="18">
        <v>21</v>
      </c>
      <c r="H380" s="19">
        <v>0</v>
      </c>
      <c r="I380" s="18">
        <v>0</v>
      </c>
      <c r="J380" s="8" t="s">
        <v>100</v>
      </c>
      <c r="K380" s="14">
        <v>4599</v>
      </c>
      <c r="L380" s="14" t="s">
        <v>874</v>
      </c>
      <c r="M380" s="20" t="s">
        <v>237</v>
      </c>
      <c r="N380" s="14" t="s">
        <v>103</v>
      </c>
      <c r="O380" s="12">
        <f t="shared" si="15"/>
        <v>10</v>
      </c>
      <c r="P380" t="str">
        <f t="shared" si="17"/>
        <v>20244574</v>
      </c>
      <c r="Q380">
        <f t="shared" si="16"/>
        <v>21</v>
      </c>
      <c r="R380" s="21"/>
    </row>
    <row r="381" spans="1:18" x14ac:dyDescent="0.3">
      <c r="A381" s="14">
        <v>6827</v>
      </c>
      <c r="B381" s="8" t="s">
        <v>96</v>
      </c>
      <c r="C381" s="15">
        <v>20244575</v>
      </c>
      <c r="D381" s="16">
        <v>8698902445757</v>
      </c>
      <c r="E381" s="14" t="s">
        <v>1054</v>
      </c>
      <c r="F381" s="17" t="s">
        <v>1055</v>
      </c>
      <c r="G381" s="18">
        <v>9</v>
      </c>
      <c r="H381" s="19">
        <v>0</v>
      </c>
      <c r="I381" s="18">
        <v>0</v>
      </c>
      <c r="J381" s="8" t="s">
        <v>100</v>
      </c>
      <c r="K381" s="14">
        <v>3999</v>
      </c>
      <c r="L381" s="14" t="s">
        <v>874</v>
      </c>
      <c r="M381" s="20" t="s">
        <v>237</v>
      </c>
      <c r="N381" s="14" t="s">
        <v>103</v>
      </c>
      <c r="O381" s="12">
        <f t="shared" si="15"/>
        <v>10</v>
      </c>
      <c r="P381" t="str">
        <f t="shared" si="17"/>
        <v>20244575</v>
      </c>
      <c r="Q381">
        <f t="shared" si="16"/>
        <v>9</v>
      </c>
      <c r="R381" s="21"/>
    </row>
    <row r="382" spans="1:18" x14ac:dyDescent="0.3">
      <c r="A382" s="14">
        <v>6393</v>
      </c>
      <c r="B382" s="8" t="s">
        <v>96</v>
      </c>
      <c r="C382" s="15">
        <v>20244289</v>
      </c>
      <c r="D382" s="16">
        <v>8698902442893</v>
      </c>
      <c r="E382" s="14" t="s">
        <v>1056</v>
      </c>
      <c r="F382" s="17" t="s">
        <v>1057</v>
      </c>
      <c r="G382" s="18">
        <v>5</v>
      </c>
      <c r="H382" s="19">
        <v>0</v>
      </c>
      <c r="I382" s="18">
        <v>0</v>
      </c>
      <c r="J382" s="8" t="s">
        <v>100</v>
      </c>
      <c r="K382" s="14">
        <v>2899</v>
      </c>
      <c r="L382" s="14" t="s">
        <v>874</v>
      </c>
      <c r="M382" s="20" t="s">
        <v>237</v>
      </c>
      <c r="N382" s="14" t="s">
        <v>103</v>
      </c>
      <c r="O382" s="12">
        <f t="shared" si="15"/>
        <v>10</v>
      </c>
      <c r="P382" t="str">
        <f t="shared" si="17"/>
        <v>20244289</v>
      </c>
      <c r="Q382">
        <f t="shared" si="16"/>
        <v>5</v>
      </c>
      <c r="R382" s="21"/>
    </row>
    <row r="383" spans="1:18" x14ac:dyDescent="0.3">
      <c r="A383" s="14">
        <v>7132</v>
      </c>
      <c r="B383" s="8" t="s">
        <v>96</v>
      </c>
      <c r="C383" s="15">
        <v>20244567</v>
      </c>
      <c r="D383" s="16">
        <v>8698902445672</v>
      </c>
      <c r="E383" s="14" t="s">
        <v>1058</v>
      </c>
      <c r="F383" s="17" t="s">
        <v>1059</v>
      </c>
      <c r="G383" s="18">
        <v>2</v>
      </c>
      <c r="H383" s="19">
        <v>0</v>
      </c>
      <c r="I383" s="18">
        <v>0</v>
      </c>
      <c r="J383" s="8" t="s">
        <v>100</v>
      </c>
      <c r="K383" s="14">
        <v>4599</v>
      </c>
      <c r="L383" s="14" t="s">
        <v>874</v>
      </c>
      <c r="M383" s="20" t="s">
        <v>237</v>
      </c>
      <c r="N383" s="14" t="s">
        <v>103</v>
      </c>
      <c r="O383" s="12">
        <f t="shared" si="15"/>
        <v>10</v>
      </c>
      <c r="P383" t="str">
        <f t="shared" si="17"/>
        <v>20244567</v>
      </c>
      <c r="Q383">
        <f t="shared" si="16"/>
        <v>2</v>
      </c>
      <c r="R383" s="21"/>
    </row>
    <row r="384" spans="1:18" x14ac:dyDescent="0.3">
      <c r="A384" s="14">
        <v>7220</v>
      </c>
      <c r="B384" s="8" t="s">
        <v>96</v>
      </c>
      <c r="C384" s="15">
        <v>20244573</v>
      </c>
      <c r="D384" s="16">
        <v>8698902445733</v>
      </c>
      <c r="E384" s="14" t="s">
        <v>1060</v>
      </c>
      <c r="F384" s="17" t="s">
        <v>1061</v>
      </c>
      <c r="G384" s="18">
        <v>1</v>
      </c>
      <c r="I384" s="18">
        <v>0</v>
      </c>
      <c r="J384" s="8" t="s">
        <v>100</v>
      </c>
      <c r="K384" s="14">
        <v>4599</v>
      </c>
      <c r="L384" s="14" t="s">
        <v>874</v>
      </c>
      <c r="M384" s="20" t="s">
        <v>237</v>
      </c>
      <c r="N384" s="14" t="s">
        <v>103</v>
      </c>
      <c r="O384" s="12">
        <f t="shared" si="15"/>
        <v>10</v>
      </c>
      <c r="P384" t="str">
        <f t="shared" si="17"/>
        <v>20244573</v>
      </c>
      <c r="Q384">
        <f t="shared" si="16"/>
        <v>1</v>
      </c>
      <c r="R384" s="21"/>
    </row>
    <row r="385" spans="1:18" x14ac:dyDescent="0.3">
      <c r="A385" s="14">
        <v>7323</v>
      </c>
      <c r="B385" s="8" t="s">
        <v>96</v>
      </c>
      <c r="C385" s="15">
        <v>20244493</v>
      </c>
      <c r="D385" s="16">
        <v>8698902444934</v>
      </c>
      <c r="E385" s="14" t="s">
        <v>1062</v>
      </c>
      <c r="F385" s="17" t="s">
        <v>1063</v>
      </c>
      <c r="G385" s="18">
        <v>2</v>
      </c>
      <c r="I385" s="18">
        <v>0</v>
      </c>
      <c r="J385" s="8" t="s">
        <v>100</v>
      </c>
      <c r="K385" s="14">
        <v>3499</v>
      </c>
      <c r="L385" s="14" t="s">
        <v>874</v>
      </c>
      <c r="M385" s="20" t="s">
        <v>237</v>
      </c>
      <c r="N385" s="14" t="s">
        <v>103</v>
      </c>
      <c r="O385" s="12">
        <f t="shared" si="15"/>
        <v>10</v>
      </c>
      <c r="P385" t="str">
        <f t="shared" si="17"/>
        <v>20244493</v>
      </c>
      <c r="Q385">
        <f t="shared" si="16"/>
        <v>2</v>
      </c>
      <c r="R385" s="21"/>
    </row>
    <row r="386" spans="1:18" x14ac:dyDescent="0.3">
      <c r="A386" s="14">
        <v>5626</v>
      </c>
      <c r="B386" s="8" t="s">
        <v>96</v>
      </c>
      <c r="C386" s="15">
        <v>20244211</v>
      </c>
      <c r="D386" s="16">
        <v>8698902442114</v>
      </c>
      <c r="E386" s="14" t="s">
        <v>1064</v>
      </c>
      <c r="F386" s="17" t="s">
        <v>1065</v>
      </c>
      <c r="G386" s="18">
        <v>2</v>
      </c>
      <c r="H386" s="19">
        <v>0</v>
      </c>
      <c r="I386" s="18">
        <v>0</v>
      </c>
      <c r="J386" s="8" t="s">
        <v>100</v>
      </c>
      <c r="K386" s="14">
        <v>4099</v>
      </c>
      <c r="L386" s="14" t="s">
        <v>874</v>
      </c>
      <c r="M386" s="20" t="s">
        <v>237</v>
      </c>
      <c r="N386" s="14" t="s">
        <v>103</v>
      </c>
      <c r="O386" s="12">
        <f t="shared" si="15"/>
        <v>10</v>
      </c>
      <c r="P386" t="str">
        <f t="shared" si="17"/>
        <v>20244211</v>
      </c>
      <c r="Q386">
        <f t="shared" si="16"/>
        <v>2</v>
      </c>
      <c r="R386" s="21"/>
    </row>
    <row r="387" spans="1:18" x14ac:dyDescent="0.3">
      <c r="A387" s="14">
        <v>6466</v>
      </c>
      <c r="B387" s="8" t="s">
        <v>96</v>
      </c>
      <c r="C387" s="15">
        <v>20244577</v>
      </c>
      <c r="D387" s="16">
        <v>8698902445771</v>
      </c>
      <c r="E387" s="14" t="s">
        <v>1066</v>
      </c>
      <c r="F387" s="17" t="s">
        <v>1067</v>
      </c>
      <c r="G387" s="18">
        <v>3</v>
      </c>
      <c r="H387" s="19">
        <v>0</v>
      </c>
      <c r="I387" s="18">
        <v>0</v>
      </c>
      <c r="J387" s="8" t="s">
        <v>100</v>
      </c>
      <c r="K387" s="14">
        <v>4599</v>
      </c>
      <c r="L387" s="14" t="s">
        <v>874</v>
      </c>
      <c r="M387" s="20" t="s">
        <v>237</v>
      </c>
      <c r="N387" s="14" t="s">
        <v>103</v>
      </c>
      <c r="O387" s="12">
        <f t="shared" ref="O387:O450" si="18">IF(C387&gt;0,10-COUNTIF(AM387:AW387,"-"),"")</f>
        <v>10</v>
      </c>
      <c r="P387" t="str">
        <f t="shared" si="17"/>
        <v>20244577</v>
      </c>
      <c r="Q387">
        <f t="shared" ref="Q387:Q450" si="19">G387-H387</f>
        <v>3</v>
      </c>
      <c r="R387" s="21"/>
    </row>
    <row r="388" spans="1:18" x14ac:dyDescent="0.3">
      <c r="A388" s="14">
        <v>6467</v>
      </c>
      <c r="B388" s="8" t="s">
        <v>96</v>
      </c>
      <c r="C388" s="15">
        <v>20244576</v>
      </c>
      <c r="D388" s="16">
        <v>8698902445764</v>
      </c>
      <c r="E388" s="14" t="s">
        <v>1068</v>
      </c>
      <c r="F388" s="17" t="s">
        <v>1069</v>
      </c>
      <c r="G388" s="18">
        <v>2</v>
      </c>
      <c r="H388" s="19">
        <v>0</v>
      </c>
      <c r="I388" s="18">
        <v>0</v>
      </c>
      <c r="J388" s="8" t="s">
        <v>100</v>
      </c>
      <c r="K388" s="14">
        <v>3999</v>
      </c>
      <c r="L388" s="14" t="s">
        <v>874</v>
      </c>
      <c r="M388" s="20" t="s">
        <v>237</v>
      </c>
      <c r="N388" s="14" t="s">
        <v>103</v>
      </c>
      <c r="O388" s="12">
        <f t="shared" si="18"/>
        <v>10</v>
      </c>
      <c r="P388" t="str">
        <f t="shared" ref="P388:P451" si="20">IF(LEFT(C388,2)="SM",CONCATENATE(LEFT(C388,7),"✦",MID(C388,11,1)),LEFT(C388,9))</f>
        <v>20244576</v>
      </c>
      <c r="Q388">
        <f t="shared" si="19"/>
        <v>2</v>
      </c>
      <c r="R388" s="21"/>
    </row>
    <row r="389" spans="1:18" x14ac:dyDescent="0.3">
      <c r="A389" s="14">
        <v>5971</v>
      </c>
      <c r="B389" s="8" t="s">
        <v>96</v>
      </c>
      <c r="C389" s="15">
        <v>20244288</v>
      </c>
      <c r="D389" s="16">
        <v>8698902442886</v>
      </c>
      <c r="E389" s="14" t="s">
        <v>1070</v>
      </c>
      <c r="F389" s="17" t="s">
        <v>1071</v>
      </c>
      <c r="G389" s="18">
        <v>3</v>
      </c>
      <c r="H389" s="19">
        <v>0</v>
      </c>
      <c r="I389" s="18">
        <v>0</v>
      </c>
      <c r="J389" s="8" t="s">
        <v>100</v>
      </c>
      <c r="K389" s="14">
        <v>2899</v>
      </c>
      <c r="L389" s="14" t="s">
        <v>874</v>
      </c>
      <c r="M389" s="20" t="s">
        <v>237</v>
      </c>
      <c r="N389" s="14" t="s">
        <v>103</v>
      </c>
      <c r="O389" s="12">
        <f t="shared" si="18"/>
        <v>10</v>
      </c>
      <c r="P389" t="str">
        <f t="shared" si="20"/>
        <v>20244288</v>
      </c>
      <c r="Q389">
        <f t="shared" si="19"/>
        <v>3</v>
      </c>
      <c r="R389" s="21"/>
    </row>
    <row r="390" spans="1:18" x14ac:dyDescent="0.3">
      <c r="A390" s="14">
        <v>5848</v>
      </c>
      <c r="B390" s="8" t="s">
        <v>96</v>
      </c>
      <c r="C390" s="15">
        <v>20263075</v>
      </c>
      <c r="D390" s="16">
        <v>8698902630757</v>
      </c>
      <c r="E390" s="14" t="s">
        <v>1072</v>
      </c>
      <c r="F390" s="17" t="s">
        <v>1073</v>
      </c>
      <c r="G390" s="18">
        <v>2</v>
      </c>
      <c r="H390" s="19">
        <v>0</v>
      </c>
      <c r="I390" s="18">
        <v>0</v>
      </c>
      <c r="J390" s="8" t="s">
        <v>100</v>
      </c>
      <c r="K390" s="14">
        <v>2599</v>
      </c>
      <c r="L390" s="14" t="s">
        <v>874</v>
      </c>
      <c r="M390" s="20" t="s">
        <v>237</v>
      </c>
      <c r="N390" s="14" t="s">
        <v>103</v>
      </c>
      <c r="O390" s="12">
        <f t="shared" si="18"/>
        <v>10</v>
      </c>
      <c r="P390" t="str">
        <f t="shared" si="20"/>
        <v>20263075</v>
      </c>
      <c r="Q390">
        <f t="shared" si="19"/>
        <v>2</v>
      </c>
      <c r="R390" s="21"/>
    </row>
    <row r="391" spans="1:18" x14ac:dyDescent="0.3">
      <c r="A391" s="14">
        <v>6765</v>
      </c>
      <c r="B391" s="8" t="s">
        <v>96</v>
      </c>
      <c r="C391" s="15">
        <v>20244578</v>
      </c>
      <c r="D391" s="16">
        <v>8698902445788</v>
      </c>
      <c r="E391" s="14" t="s">
        <v>1074</v>
      </c>
      <c r="F391" s="17" t="s">
        <v>1075</v>
      </c>
      <c r="G391" s="18">
        <v>3</v>
      </c>
      <c r="H391" s="19">
        <v>0</v>
      </c>
      <c r="I391" s="18">
        <v>0</v>
      </c>
      <c r="J391" s="8" t="s">
        <v>100</v>
      </c>
      <c r="K391" s="14">
        <v>3999</v>
      </c>
      <c r="L391" s="14" t="s">
        <v>874</v>
      </c>
      <c r="M391" s="20" t="s">
        <v>237</v>
      </c>
      <c r="N391" s="14" t="s">
        <v>103</v>
      </c>
      <c r="O391" s="12">
        <f t="shared" si="18"/>
        <v>10</v>
      </c>
      <c r="P391" t="str">
        <f t="shared" si="20"/>
        <v>20244578</v>
      </c>
      <c r="Q391">
        <f t="shared" si="19"/>
        <v>3</v>
      </c>
      <c r="R391" s="21"/>
    </row>
    <row r="392" spans="1:18" x14ac:dyDescent="0.3">
      <c r="A392" s="14">
        <v>6828</v>
      </c>
      <c r="B392" s="8" t="s">
        <v>96</v>
      </c>
      <c r="C392" s="15">
        <v>20244581</v>
      </c>
      <c r="D392" s="16">
        <v>8698902445818</v>
      </c>
      <c r="E392" s="14" t="s">
        <v>1076</v>
      </c>
      <c r="F392" s="17" t="s">
        <v>1077</v>
      </c>
      <c r="G392" s="18">
        <v>2</v>
      </c>
      <c r="H392" s="19">
        <v>0</v>
      </c>
      <c r="I392" s="18">
        <v>2</v>
      </c>
      <c r="J392" s="8" t="s">
        <v>100</v>
      </c>
      <c r="K392" s="14">
        <v>4599</v>
      </c>
      <c r="L392" s="14" t="s">
        <v>874</v>
      </c>
      <c r="M392" s="20" t="s">
        <v>237</v>
      </c>
      <c r="N392" s="14" t="s">
        <v>103</v>
      </c>
      <c r="O392" s="12">
        <f t="shared" si="18"/>
        <v>10</v>
      </c>
      <c r="P392" t="str">
        <f t="shared" si="20"/>
        <v>20244581</v>
      </c>
      <c r="Q392">
        <f t="shared" si="19"/>
        <v>2</v>
      </c>
      <c r="R392" s="21"/>
    </row>
    <row r="393" spans="1:18" x14ac:dyDescent="0.3">
      <c r="A393" s="14">
        <v>6767</v>
      </c>
      <c r="B393" s="8" t="s">
        <v>96</v>
      </c>
      <c r="C393" s="15">
        <v>20292635</v>
      </c>
      <c r="D393" s="16">
        <v>8698902926355</v>
      </c>
      <c r="E393" s="14" t="s">
        <v>1078</v>
      </c>
      <c r="F393" s="17" t="s">
        <v>1079</v>
      </c>
      <c r="G393" s="18">
        <v>12</v>
      </c>
      <c r="H393" s="19">
        <v>0</v>
      </c>
      <c r="I393" s="18">
        <v>0</v>
      </c>
      <c r="J393" s="8" t="s">
        <v>100</v>
      </c>
      <c r="K393" s="14">
        <v>499</v>
      </c>
      <c r="L393" s="14" t="s">
        <v>1080</v>
      </c>
      <c r="M393" s="20" t="s">
        <v>237</v>
      </c>
      <c r="N393" s="14" t="s">
        <v>234</v>
      </c>
      <c r="O393" s="12">
        <f t="shared" si="18"/>
        <v>10</v>
      </c>
      <c r="P393" t="str">
        <f t="shared" si="20"/>
        <v>20292635</v>
      </c>
      <c r="Q393">
        <f t="shared" si="19"/>
        <v>12</v>
      </c>
      <c r="R393" s="21"/>
    </row>
    <row r="394" spans="1:18" x14ac:dyDescent="0.3">
      <c r="A394" s="14">
        <v>6805</v>
      </c>
      <c r="B394" s="8" t="s">
        <v>96</v>
      </c>
      <c r="C394" s="15" t="s">
        <v>1081</v>
      </c>
      <c r="E394" s="14" t="s">
        <v>1082</v>
      </c>
      <c r="F394" s="17" t="s">
        <v>1083</v>
      </c>
      <c r="G394" s="18">
        <v>1</v>
      </c>
      <c r="H394" s="19">
        <v>0</v>
      </c>
      <c r="I394" s="18">
        <v>0</v>
      </c>
      <c r="J394" s="8" t="s">
        <v>100</v>
      </c>
      <c r="K394" s="14">
        <v>599</v>
      </c>
      <c r="L394" s="14" t="s">
        <v>233</v>
      </c>
      <c r="M394" s="20" t="s">
        <v>922</v>
      </c>
      <c r="N394" s="14" t="s">
        <v>234</v>
      </c>
      <c r="O394" s="12">
        <f t="shared" si="18"/>
        <v>10</v>
      </c>
      <c r="P394" t="str">
        <f t="shared" si="20"/>
        <v>OPTIC1,5</v>
      </c>
      <c r="Q394">
        <f t="shared" si="19"/>
        <v>1</v>
      </c>
      <c r="R394" s="21"/>
    </row>
    <row r="395" spans="1:18" x14ac:dyDescent="0.3">
      <c r="A395" s="14">
        <v>6738</v>
      </c>
      <c r="B395" s="8" t="s">
        <v>96</v>
      </c>
      <c r="C395" s="15" t="s">
        <v>1084</v>
      </c>
      <c r="D395" s="16">
        <v>8710103641308</v>
      </c>
      <c r="E395" s="14" t="s">
        <v>1085</v>
      </c>
      <c r="F395" s="17" t="s">
        <v>1086</v>
      </c>
      <c r="G395" s="18">
        <v>5</v>
      </c>
      <c r="H395" s="19">
        <v>0</v>
      </c>
      <c r="I395" s="18">
        <v>0</v>
      </c>
      <c r="J395" s="8" t="s">
        <v>100</v>
      </c>
      <c r="K395" s="14">
        <v>1199</v>
      </c>
      <c r="L395" s="14" t="s">
        <v>874</v>
      </c>
      <c r="M395" s="20" t="s">
        <v>102</v>
      </c>
      <c r="N395" s="14" t="s">
        <v>103</v>
      </c>
      <c r="O395" s="12">
        <f t="shared" si="18"/>
        <v>10</v>
      </c>
      <c r="P395" t="str">
        <f t="shared" si="20"/>
        <v>HR2738/00</v>
      </c>
      <c r="Q395">
        <f t="shared" si="19"/>
        <v>5</v>
      </c>
      <c r="R395" s="21"/>
    </row>
    <row r="396" spans="1:18" x14ac:dyDescent="0.3">
      <c r="A396" s="14">
        <v>6310</v>
      </c>
      <c r="B396" s="8" t="s">
        <v>96</v>
      </c>
      <c r="C396" s="15">
        <v>20244415</v>
      </c>
      <c r="D396" s="16">
        <v>8698902444156</v>
      </c>
      <c r="E396" s="14" t="s">
        <v>1087</v>
      </c>
      <c r="F396" s="17" t="s">
        <v>1088</v>
      </c>
      <c r="G396" s="18">
        <v>2</v>
      </c>
      <c r="H396" s="19">
        <v>0</v>
      </c>
      <c r="I396" s="18">
        <v>0</v>
      </c>
      <c r="J396" s="8" t="s">
        <v>100</v>
      </c>
      <c r="K396" s="14">
        <v>6049</v>
      </c>
      <c r="L396" s="14" t="s">
        <v>874</v>
      </c>
      <c r="M396" s="20" t="s">
        <v>237</v>
      </c>
      <c r="N396" s="14" t="s">
        <v>103</v>
      </c>
      <c r="O396" s="12">
        <f t="shared" si="18"/>
        <v>10</v>
      </c>
      <c r="P396" t="str">
        <f t="shared" si="20"/>
        <v>20244415</v>
      </c>
      <c r="Q396">
        <f t="shared" si="19"/>
        <v>2</v>
      </c>
      <c r="R396" s="21"/>
    </row>
    <row r="397" spans="1:18" x14ac:dyDescent="0.3">
      <c r="A397" s="14">
        <v>3183</v>
      </c>
      <c r="B397" s="8" t="s">
        <v>96</v>
      </c>
      <c r="C397" s="15">
        <v>20242454</v>
      </c>
      <c r="D397" s="16">
        <v>8698902424547</v>
      </c>
      <c r="E397" s="14" t="s">
        <v>1089</v>
      </c>
      <c r="F397" s="17" t="s">
        <v>1090</v>
      </c>
      <c r="G397" s="18">
        <v>8</v>
      </c>
      <c r="H397" s="19">
        <v>0</v>
      </c>
      <c r="I397" s="18">
        <v>0</v>
      </c>
      <c r="J397" s="8" t="s">
        <v>100</v>
      </c>
      <c r="K397" s="14">
        <v>8649</v>
      </c>
      <c r="L397" s="14" t="s">
        <v>874</v>
      </c>
      <c r="M397" s="20" t="s">
        <v>237</v>
      </c>
      <c r="N397" s="14" t="s">
        <v>130</v>
      </c>
      <c r="O397" s="12">
        <f t="shared" si="18"/>
        <v>10</v>
      </c>
      <c r="P397" t="str">
        <f t="shared" si="20"/>
        <v>20242454</v>
      </c>
      <c r="Q397">
        <f t="shared" si="19"/>
        <v>8</v>
      </c>
      <c r="R397" s="21"/>
    </row>
    <row r="398" spans="1:18" x14ac:dyDescent="0.3">
      <c r="A398" s="14">
        <v>2176</v>
      </c>
      <c r="B398" s="8" t="s">
        <v>96</v>
      </c>
      <c r="C398" s="15" t="s">
        <v>1091</v>
      </c>
      <c r="D398" s="16">
        <v>8698898369570</v>
      </c>
      <c r="E398" s="14" t="s">
        <v>1092</v>
      </c>
      <c r="F398" s="17" t="s">
        <v>1093</v>
      </c>
      <c r="G398" s="18">
        <v>10</v>
      </c>
      <c r="H398" s="19">
        <v>0</v>
      </c>
      <c r="I398" s="18">
        <v>0</v>
      </c>
      <c r="J398" s="8" t="s">
        <v>100</v>
      </c>
      <c r="K398" s="14">
        <v>699</v>
      </c>
      <c r="L398" s="14" t="s">
        <v>1094</v>
      </c>
      <c r="M398" s="20" t="s">
        <v>222</v>
      </c>
      <c r="N398" s="14" t="s">
        <v>234</v>
      </c>
      <c r="O398" s="12">
        <f t="shared" si="18"/>
        <v>10</v>
      </c>
      <c r="P398" t="str">
        <f t="shared" si="20"/>
        <v>Askı İpli</v>
      </c>
      <c r="Q398">
        <f t="shared" si="19"/>
        <v>10</v>
      </c>
      <c r="R398" s="21"/>
    </row>
    <row r="399" spans="1:18" x14ac:dyDescent="0.3">
      <c r="A399" s="14">
        <v>2894</v>
      </c>
      <c r="B399" s="8" t="s">
        <v>96</v>
      </c>
      <c r="C399" s="15" t="s">
        <v>1095</v>
      </c>
      <c r="D399" s="16">
        <v>8699273432551</v>
      </c>
      <c r="E399" s="14" t="s">
        <v>1096</v>
      </c>
      <c r="F399" s="17" t="s">
        <v>1097</v>
      </c>
      <c r="G399" s="18">
        <v>10</v>
      </c>
      <c r="H399" s="19">
        <v>0</v>
      </c>
      <c r="I399" s="18">
        <v>0</v>
      </c>
      <c r="J399" s="8" t="s">
        <v>100</v>
      </c>
      <c r="K399" s="14">
        <v>1249</v>
      </c>
      <c r="L399" s="14" t="s">
        <v>233</v>
      </c>
      <c r="M399" s="20" t="s">
        <v>922</v>
      </c>
      <c r="N399" s="14" t="s">
        <v>234</v>
      </c>
      <c r="O399" s="12">
        <f t="shared" si="18"/>
        <v>10</v>
      </c>
      <c r="P399" t="str">
        <f t="shared" si="20"/>
        <v>SUREFİX 2</v>
      </c>
      <c r="Q399">
        <f t="shared" si="19"/>
        <v>10</v>
      </c>
      <c r="R399" s="21"/>
    </row>
    <row r="400" spans="1:18" x14ac:dyDescent="0.3">
      <c r="A400" s="14">
        <v>5959</v>
      </c>
      <c r="B400" s="8" t="s">
        <v>96</v>
      </c>
      <c r="C400" s="15" t="s">
        <v>1098</v>
      </c>
      <c r="E400" s="14" t="s">
        <v>1099</v>
      </c>
      <c r="F400" s="17" t="s">
        <v>1100</v>
      </c>
      <c r="G400" s="18">
        <v>16</v>
      </c>
      <c r="H400" s="19">
        <v>0</v>
      </c>
      <c r="I400" s="18">
        <v>0</v>
      </c>
      <c r="J400" s="8" t="s">
        <v>100</v>
      </c>
      <c r="K400" s="14">
        <v>2549</v>
      </c>
      <c r="L400" s="14" t="s">
        <v>233</v>
      </c>
      <c r="M400" s="20" t="s">
        <v>922</v>
      </c>
      <c r="N400" s="14" t="s">
        <v>234</v>
      </c>
      <c r="O400" s="12">
        <f t="shared" si="18"/>
        <v>10</v>
      </c>
      <c r="P400" t="str">
        <f t="shared" si="20"/>
        <v>SUREFİX 2</v>
      </c>
      <c r="Q400">
        <f t="shared" si="19"/>
        <v>16</v>
      </c>
      <c r="R400" s="21"/>
    </row>
    <row r="401" spans="1:18" x14ac:dyDescent="0.3">
      <c r="A401" s="14">
        <v>3388</v>
      </c>
      <c r="B401" s="8" t="s">
        <v>96</v>
      </c>
      <c r="C401" s="15" t="s">
        <v>1101</v>
      </c>
      <c r="D401" s="16">
        <v>8699273426468</v>
      </c>
      <c r="E401" s="14" t="s">
        <v>1102</v>
      </c>
      <c r="F401" s="17" t="s">
        <v>1103</v>
      </c>
      <c r="G401" s="18">
        <v>2</v>
      </c>
      <c r="H401" s="19">
        <v>0</v>
      </c>
      <c r="I401" s="18">
        <v>0</v>
      </c>
      <c r="J401" s="8" t="s">
        <v>100</v>
      </c>
      <c r="K401" s="14">
        <v>1249</v>
      </c>
      <c r="L401" s="14" t="s">
        <v>233</v>
      </c>
      <c r="M401" s="20" t="s">
        <v>922</v>
      </c>
      <c r="N401" s="14" t="s">
        <v>234</v>
      </c>
      <c r="O401" s="12">
        <f t="shared" si="18"/>
        <v>10</v>
      </c>
      <c r="P401" t="str">
        <f t="shared" si="20"/>
        <v>SUREFIX 5</v>
      </c>
      <c r="Q401">
        <f t="shared" si="19"/>
        <v>2</v>
      </c>
      <c r="R401" s="21"/>
    </row>
    <row r="402" spans="1:18" x14ac:dyDescent="0.3">
      <c r="A402" s="14">
        <v>6422</v>
      </c>
      <c r="B402" s="8" t="s">
        <v>96</v>
      </c>
      <c r="C402" s="15" t="s">
        <v>1104</v>
      </c>
      <c r="D402" s="16">
        <v>8699273515599</v>
      </c>
      <c r="E402" s="14" t="s">
        <v>1105</v>
      </c>
      <c r="F402" s="17" t="s">
        <v>1106</v>
      </c>
      <c r="G402" s="18">
        <v>16</v>
      </c>
      <c r="H402" s="19">
        <v>0</v>
      </c>
      <c r="I402" s="18">
        <v>0</v>
      </c>
      <c r="J402" s="8" t="s">
        <v>100</v>
      </c>
      <c r="K402" s="14">
        <v>649</v>
      </c>
      <c r="L402" s="14" t="s">
        <v>233</v>
      </c>
      <c r="M402" s="20" t="s">
        <v>922</v>
      </c>
      <c r="N402" s="14" t="s">
        <v>234</v>
      </c>
      <c r="O402" s="12">
        <f t="shared" si="18"/>
        <v>10</v>
      </c>
      <c r="P402" t="str">
        <f t="shared" si="20"/>
        <v>TVSTRAP</v>
      </c>
      <c r="Q402">
        <f t="shared" si="19"/>
        <v>16</v>
      </c>
      <c r="R402" s="21"/>
    </row>
    <row r="403" spans="1:18" x14ac:dyDescent="0.3">
      <c r="A403" s="14">
        <v>5244</v>
      </c>
      <c r="B403" s="8" t="s">
        <v>96</v>
      </c>
      <c r="C403" s="15" t="s">
        <v>1107</v>
      </c>
      <c r="E403" s="14" t="s">
        <v>1108</v>
      </c>
      <c r="F403" s="17" t="s">
        <v>1109</v>
      </c>
      <c r="G403" s="18">
        <v>6</v>
      </c>
      <c r="H403" s="19">
        <v>0</v>
      </c>
      <c r="I403" s="18">
        <v>0</v>
      </c>
      <c r="J403" s="8" t="s">
        <v>100</v>
      </c>
      <c r="K403" s="14">
        <v>1249</v>
      </c>
      <c r="L403" s="14" t="s">
        <v>233</v>
      </c>
      <c r="M403" s="20" t="s">
        <v>1110</v>
      </c>
      <c r="N403" s="14" t="s">
        <v>234</v>
      </c>
      <c r="O403" s="12">
        <f t="shared" si="18"/>
        <v>10</v>
      </c>
      <c r="P403" t="str">
        <f t="shared" si="20"/>
        <v>BPT-2742</v>
      </c>
      <c r="Q403">
        <f t="shared" si="19"/>
        <v>6</v>
      </c>
      <c r="R403" s="21"/>
    </row>
    <row r="404" spans="1:18" x14ac:dyDescent="0.3">
      <c r="A404" s="14">
        <v>4912</v>
      </c>
      <c r="B404" s="8" t="s">
        <v>96</v>
      </c>
      <c r="C404" s="15" t="s">
        <v>1111</v>
      </c>
      <c r="D404" s="16">
        <v>8698709001866</v>
      </c>
      <c r="E404" s="14" t="s">
        <v>1112</v>
      </c>
      <c r="F404" s="17" t="s">
        <v>1113</v>
      </c>
      <c r="G404" s="18">
        <v>2</v>
      </c>
      <c r="H404" s="19">
        <v>0</v>
      </c>
      <c r="I404" s="18">
        <v>0</v>
      </c>
      <c r="J404" s="8" t="s">
        <v>100</v>
      </c>
      <c r="K404" s="14">
        <v>1249</v>
      </c>
      <c r="L404" s="14" t="s">
        <v>233</v>
      </c>
      <c r="M404" s="20" t="s">
        <v>1110</v>
      </c>
      <c r="N404" s="14" t="s">
        <v>234</v>
      </c>
      <c r="O404" s="12">
        <f t="shared" si="18"/>
        <v>10</v>
      </c>
      <c r="P404" t="str">
        <f t="shared" si="20"/>
        <v>BP-2742</v>
      </c>
      <c r="Q404">
        <f t="shared" si="19"/>
        <v>2</v>
      </c>
      <c r="R404" s="21"/>
    </row>
    <row r="405" spans="1:18" x14ac:dyDescent="0.3">
      <c r="A405" s="14">
        <v>4902</v>
      </c>
      <c r="B405" s="8" t="s">
        <v>96</v>
      </c>
      <c r="C405" s="15" t="s">
        <v>1114</v>
      </c>
      <c r="D405" s="16">
        <v>8698709001941</v>
      </c>
      <c r="E405" s="14" t="s">
        <v>1115</v>
      </c>
      <c r="F405" s="17" t="s">
        <v>1116</v>
      </c>
      <c r="G405" s="18">
        <v>48</v>
      </c>
      <c r="H405" s="19">
        <v>0</v>
      </c>
      <c r="I405" s="18">
        <v>3</v>
      </c>
      <c r="J405" s="8" t="s">
        <v>100</v>
      </c>
      <c r="K405" s="14">
        <v>999</v>
      </c>
      <c r="L405" s="14" t="s">
        <v>233</v>
      </c>
      <c r="M405" s="20" t="s">
        <v>1110</v>
      </c>
      <c r="N405" s="14" t="s">
        <v>234</v>
      </c>
      <c r="O405" s="12">
        <f t="shared" si="18"/>
        <v>10</v>
      </c>
      <c r="P405" t="str">
        <f t="shared" si="20"/>
        <v>BS 4265</v>
      </c>
      <c r="Q405">
        <f t="shared" si="19"/>
        <v>48</v>
      </c>
      <c r="R405" s="21"/>
    </row>
    <row r="406" spans="1:18" x14ac:dyDescent="0.3">
      <c r="A406" s="14">
        <v>4903</v>
      </c>
      <c r="B406" s="8" t="s">
        <v>96</v>
      </c>
      <c r="C406" s="15" t="s">
        <v>1117</v>
      </c>
      <c r="D406" s="16">
        <v>8698709001972</v>
      </c>
      <c r="E406" s="14" t="s">
        <v>1118</v>
      </c>
      <c r="F406" s="17" t="s">
        <v>1119</v>
      </c>
      <c r="G406" s="18">
        <v>30</v>
      </c>
      <c r="H406" s="19">
        <v>0</v>
      </c>
      <c r="I406" s="18">
        <v>0</v>
      </c>
      <c r="J406" s="8" t="s">
        <v>100</v>
      </c>
      <c r="K406" s="14">
        <v>1249</v>
      </c>
      <c r="L406" s="14" t="s">
        <v>233</v>
      </c>
      <c r="M406" s="20" t="s">
        <v>1110</v>
      </c>
      <c r="N406" s="14" t="s">
        <v>234</v>
      </c>
      <c r="O406" s="12">
        <f t="shared" si="18"/>
        <v>10</v>
      </c>
      <c r="P406" t="str">
        <f t="shared" si="20"/>
        <v>BS 5565</v>
      </c>
      <c r="Q406">
        <f t="shared" si="19"/>
        <v>30</v>
      </c>
      <c r="R406" s="21"/>
    </row>
    <row r="407" spans="1:18" x14ac:dyDescent="0.3">
      <c r="A407" s="14">
        <v>7264</v>
      </c>
      <c r="B407" s="8" t="s">
        <v>96</v>
      </c>
      <c r="C407" s="15" t="s">
        <v>1120</v>
      </c>
      <c r="D407" s="16">
        <v>8698709008346</v>
      </c>
      <c r="E407" s="14" t="s">
        <v>1121</v>
      </c>
      <c r="F407" s="17" t="s">
        <v>1122</v>
      </c>
      <c r="G407" s="18">
        <v>38</v>
      </c>
      <c r="H407" s="19">
        <v>0</v>
      </c>
      <c r="I407" s="18">
        <v>1</v>
      </c>
      <c r="J407" s="8" t="s">
        <v>100</v>
      </c>
      <c r="K407" s="14">
        <v>1899</v>
      </c>
      <c r="L407" s="14" t="s">
        <v>233</v>
      </c>
      <c r="M407" s="20" t="s">
        <v>1110</v>
      </c>
      <c r="N407" s="14" t="s">
        <v>234</v>
      </c>
      <c r="O407" s="12">
        <f t="shared" si="18"/>
        <v>10</v>
      </c>
      <c r="P407" t="str">
        <f t="shared" si="20"/>
        <v>BS 75100</v>
      </c>
      <c r="Q407">
        <f t="shared" si="19"/>
        <v>38</v>
      </c>
      <c r="R407" s="21"/>
    </row>
    <row r="408" spans="1:18" x14ac:dyDescent="0.3">
      <c r="A408" s="14">
        <v>7436</v>
      </c>
      <c r="B408" s="8" t="s">
        <v>96</v>
      </c>
      <c r="C408" s="15" t="s">
        <v>1123</v>
      </c>
      <c r="D408" s="16">
        <v>8720689033534</v>
      </c>
      <c r="E408" s="14" t="s">
        <v>1124</v>
      </c>
      <c r="F408" s="17" t="s">
        <v>1125</v>
      </c>
      <c r="G408" s="18">
        <v>2</v>
      </c>
      <c r="H408" s="19">
        <v>0</v>
      </c>
      <c r="I408" s="18">
        <v>0</v>
      </c>
      <c r="J408" s="8" t="s">
        <v>100</v>
      </c>
      <c r="K408" s="14">
        <v>1999</v>
      </c>
      <c r="L408" s="14" t="s">
        <v>101</v>
      </c>
      <c r="M408" s="20" t="s">
        <v>102</v>
      </c>
      <c r="N408" s="14" t="s">
        <v>103</v>
      </c>
      <c r="O408" s="12">
        <f t="shared" si="18"/>
        <v>10</v>
      </c>
      <c r="P408" t="str">
        <f t="shared" si="20"/>
        <v>BHD340/10</v>
      </c>
      <c r="Q408">
        <f t="shared" si="19"/>
        <v>2</v>
      </c>
      <c r="R408" s="21"/>
    </row>
    <row r="409" spans="1:18" x14ac:dyDescent="0.3">
      <c r="A409" s="14">
        <v>6612</v>
      </c>
      <c r="B409" s="8" t="s">
        <v>96</v>
      </c>
      <c r="C409" s="15" t="s">
        <v>1126</v>
      </c>
      <c r="D409" s="16">
        <v>8710103959595</v>
      </c>
      <c r="E409" s="14" t="s">
        <v>1127</v>
      </c>
      <c r="F409" s="17" t="s">
        <v>1128</v>
      </c>
      <c r="G409" s="18">
        <v>4</v>
      </c>
      <c r="H409" s="19">
        <v>0</v>
      </c>
      <c r="I409" s="18">
        <v>0</v>
      </c>
      <c r="J409" s="8" t="s">
        <v>100</v>
      </c>
      <c r="K409" s="14">
        <v>1899</v>
      </c>
      <c r="L409" s="14" t="s">
        <v>101</v>
      </c>
      <c r="M409" s="20" t="s">
        <v>102</v>
      </c>
      <c r="N409" s="14" t="s">
        <v>103</v>
      </c>
      <c r="O409" s="12">
        <f t="shared" si="18"/>
        <v>10</v>
      </c>
      <c r="P409" t="str">
        <f t="shared" si="20"/>
        <v>BHD350/10</v>
      </c>
      <c r="Q409">
        <f t="shared" si="19"/>
        <v>4</v>
      </c>
      <c r="R409" s="21"/>
    </row>
    <row r="410" spans="1:18" x14ac:dyDescent="0.3">
      <c r="A410" s="14">
        <v>7128</v>
      </c>
      <c r="B410" s="8" t="s">
        <v>96</v>
      </c>
      <c r="C410" s="15" t="s">
        <v>1129</v>
      </c>
      <c r="D410" s="16">
        <v>8710103948643</v>
      </c>
      <c r="E410" s="14" t="s">
        <v>1130</v>
      </c>
      <c r="F410" s="17" t="s">
        <v>1131</v>
      </c>
      <c r="G410" s="18">
        <v>4</v>
      </c>
      <c r="H410" s="19">
        <v>0</v>
      </c>
      <c r="I410" s="18">
        <v>0</v>
      </c>
      <c r="J410" s="8" t="s">
        <v>100</v>
      </c>
      <c r="K410" s="14">
        <v>2899</v>
      </c>
      <c r="L410" s="14" t="s">
        <v>101</v>
      </c>
      <c r="M410" s="20" t="s">
        <v>102</v>
      </c>
      <c r="N410" s="14" t="s">
        <v>103</v>
      </c>
      <c r="O410" s="12">
        <f t="shared" si="18"/>
        <v>10</v>
      </c>
      <c r="P410" t="str">
        <f t="shared" si="20"/>
        <v>BHD500/00</v>
      </c>
      <c r="Q410">
        <f t="shared" si="19"/>
        <v>4</v>
      </c>
      <c r="R410" s="21"/>
    </row>
    <row r="411" spans="1:18" x14ac:dyDescent="0.3">
      <c r="A411" s="14">
        <v>6737</v>
      </c>
      <c r="B411" s="8" t="s">
        <v>96</v>
      </c>
      <c r="C411" s="15" t="s">
        <v>1132</v>
      </c>
      <c r="D411" s="16">
        <v>8720689018487</v>
      </c>
      <c r="E411" s="14" t="s">
        <v>1133</v>
      </c>
      <c r="F411" s="17" t="s">
        <v>1134</v>
      </c>
      <c r="G411" s="18">
        <v>3</v>
      </c>
      <c r="H411" s="19">
        <v>0</v>
      </c>
      <c r="I411" s="18">
        <v>0</v>
      </c>
      <c r="J411" s="8" t="s">
        <v>100</v>
      </c>
      <c r="K411" s="14">
        <v>2999</v>
      </c>
      <c r="L411" s="14" t="s">
        <v>101</v>
      </c>
      <c r="M411" s="20" t="s">
        <v>102</v>
      </c>
      <c r="N411" s="14" t="s">
        <v>103</v>
      </c>
      <c r="O411" s="12">
        <f t="shared" si="18"/>
        <v>10</v>
      </c>
      <c r="P411" t="str">
        <f t="shared" si="20"/>
        <v>BHH808/00</v>
      </c>
      <c r="Q411">
        <f t="shared" si="19"/>
        <v>3</v>
      </c>
      <c r="R411" s="21"/>
    </row>
    <row r="412" spans="1:18" x14ac:dyDescent="0.3">
      <c r="A412" s="14">
        <v>6847</v>
      </c>
      <c r="B412" s="8" t="s">
        <v>96</v>
      </c>
      <c r="C412" s="15" t="s">
        <v>1135</v>
      </c>
      <c r="D412" s="16">
        <v>8710103974147</v>
      </c>
      <c r="E412" s="14" t="s">
        <v>1136</v>
      </c>
      <c r="F412" s="17" t="s">
        <v>1137</v>
      </c>
      <c r="G412" s="18">
        <v>2</v>
      </c>
      <c r="H412" s="19">
        <v>0</v>
      </c>
      <c r="I412" s="18">
        <v>0</v>
      </c>
      <c r="J412" s="8" t="s">
        <v>100</v>
      </c>
      <c r="K412" s="14">
        <v>3899</v>
      </c>
      <c r="L412" s="14" t="s">
        <v>101</v>
      </c>
      <c r="M412" s="20" t="s">
        <v>102</v>
      </c>
      <c r="N412" s="14" t="s">
        <v>103</v>
      </c>
      <c r="O412" s="12">
        <f t="shared" si="18"/>
        <v>10</v>
      </c>
      <c r="P412" t="str">
        <f t="shared" si="20"/>
        <v>BHS520/00</v>
      </c>
      <c r="Q412">
        <f t="shared" si="19"/>
        <v>2</v>
      </c>
      <c r="R412" s="21"/>
    </row>
    <row r="413" spans="1:18" x14ac:dyDescent="0.3">
      <c r="A413" s="14">
        <v>6313</v>
      </c>
      <c r="B413" s="8" t="s">
        <v>96</v>
      </c>
      <c r="C413" s="15">
        <v>20244173</v>
      </c>
      <c r="D413" s="16">
        <v>8698902441735</v>
      </c>
      <c r="E413" s="14" t="s">
        <v>1138</v>
      </c>
      <c r="F413" s="17" t="s">
        <v>1139</v>
      </c>
      <c r="G413" s="18">
        <v>4</v>
      </c>
      <c r="H413" s="19">
        <v>0</v>
      </c>
      <c r="I413" s="18">
        <v>0</v>
      </c>
      <c r="J413" s="8" t="s">
        <v>100</v>
      </c>
      <c r="K413" s="14">
        <v>1499</v>
      </c>
      <c r="L413" s="14" t="s">
        <v>101</v>
      </c>
      <c r="M413" s="20" t="s">
        <v>237</v>
      </c>
      <c r="N413" s="14" t="s">
        <v>103</v>
      </c>
      <c r="O413" s="12">
        <f t="shared" si="18"/>
        <v>10</v>
      </c>
      <c r="P413" t="str">
        <f t="shared" si="20"/>
        <v>20244173</v>
      </c>
      <c r="Q413">
        <f t="shared" si="19"/>
        <v>4</v>
      </c>
      <c r="R413" s="21"/>
    </row>
    <row r="414" spans="1:18" x14ac:dyDescent="0.3">
      <c r="A414" s="14">
        <v>5139</v>
      </c>
      <c r="B414" s="8" t="s">
        <v>96</v>
      </c>
      <c r="C414" s="15">
        <v>20242683</v>
      </c>
      <c r="D414" s="16">
        <v>8698902426831</v>
      </c>
      <c r="E414" s="14" t="s">
        <v>1140</v>
      </c>
      <c r="F414" s="17" t="s">
        <v>1141</v>
      </c>
      <c r="G414" s="18">
        <v>8</v>
      </c>
      <c r="H414" s="19">
        <v>0</v>
      </c>
      <c r="I414" s="18">
        <v>0</v>
      </c>
      <c r="J414" s="8" t="s">
        <v>100</v>
      </c>
      <c r="K414" s="14">
        <v>1599</v>
      </c>
      <c r="L414" s="14" t="s">
        <v>101</v>
      </c>
      <c r="M414" s="20" t="s">
        <v>237</v>
      </c>
      <c r="N414" s="14" t="s">
        <v>103</v>
      </c>
      <c r="O414" s="12">
        <f t="shared" si="18"/>
        <v>10</v>
      </c>
      <c r="P414" t="str">
        <f t="shared" si="20"/>
        <v>20242683</v>
      </c>
      <c r="Q414">
        <f t="shared" si="19"/>
        <v>8</v>
      </c>
      <c r="R414" s="21"/>
    </row>
    <row r="415" spans="1:18" x14ac:dyDescent="0.3">
      <c r="A415" s="14">
        <v>6048</v>
      </c>
      <c r="B415" s="8" t="s">
        <v>96</v>
      </c>
      <c r="C415" s="15">
        <v>20244283</v>
      </c>
      <c r="D415" s="16">
        <v>8698902442831</v>
      </c>
      <c r="E415" s="14" t="s">
        <v>1142</v>
      </c>
      <c r="F415" s="17" t="s">
        <v>1143</v>
      </c>
      <c r="G415" s="18">
        <v>2</v>
      </c>
      <c r="H415" s="19">
        <v>0</v>
      </c>
      <c r="I415" s="18">
        <v>0</v>
      </c>
      <c r="J415" s="8" t="s">
        <v>100</v>
      </c>
      <c r="K415" s="14">
        <v>1049</v>
      </c>
      <c r="L415" s="14" t="s">
        <v>101</v>
      </c>
      <c r="M415" s="20" t="s">
        <v>237</v>
      </c>
      <c r="N415" s="14" t="s">
        <v>103</v>
      </c>
      <c r="O415" s="12">
        <f t="shared" si="18"/>
        <v>10</v>
      </c>
      <c r="P415" t="str">
        <f t="shared" si="20"/>
        <v>20244283</v>
      </c>
      <c r="Q415">
        <f t="shared" si="19"/>
        <v>2</v>
      </c>
      <c r="R415" s="21"/>
    </row>
    <row r="416" spans="1:18" x14ac:dyDescent="0.3">
      <c r="A416" s="14">
        <v>6051</v>
      </c>
      <c r="B416" s="8" t="s">
        <v>96</v>
      </c>
      <c r="C416" s="15">
        <v>20244284</v>
      </c>
      <c r="D416" s="16">
        <v>8698902442848</v>
      </c>
      <c r="E416" s="14" t="s">
        <v>1144</v>
      </c>
      <c r="F416" s="17" t="s">
        <v>1145</v>
      </c>
      <c r="G416" s="18">
        <v>2</v>
      </c>
      <c r="H416" s="19">
        <v>0</v>
      </c>
      <c r="I416" s="18">
        <v>0</v>
      </c>
      <c r="J416" s="8" t="s">
        <v>100</v>
      </c>
      <c r="K416" s="14">
        <v>1199</v>
      </c>
      <c r="L416" s="14" t="s">
        <v>101</v>
      </c>
      <c r="M416" s="20" t="s">
        <v>237</v>
      </c>
      <c r="N416" s="14" t="s">
        <v>103</v>
      </c>
      <c r="O416" s="12">
        <f t="shared" si="18"/>
        <v>10</v>
      </c>
      <c r="P416" t="str">
        <f t="shared" si="20"/>
        <v>20244284</v>
      </c>
      <c r="Q416">
        <f t="shared" si="19"/>
        <v>2</v>
      </c>
      <c r="R416" s="21"/>
    </row>
    <row r="417" spans="1:18" x14ac:dyDescent="0.3">
      <c r="A417" s="14">
        <v>6049</v>
      </c>
      <c r="B417" s="8" t="s">
        <v>96</v>
      </c>
      <c r="C417" s="15">
        <v>20244280</v>
      </c>
      <c r="D417" s="16">
        <v>8698902442800</v>
      </c>
      <c r="E417" s="14" t="s">
        <v>1146</v>
      </c>
      <c r="F417" s="17" t="s">
        <v>1147</v>
      </c>
      <c r="G417" s="18">
        <v>1</v>
      </c>
      <c r="H417" s="19">
        <v>0</v>
      </c>
      <c r="I417" s="18">
        <v>0</v>
      </c>
      <c r="J417" s="8" t="s">
        <v>100</v>
      </c>
      <c r="K417" s="14">
        <v>849</v>
      </c>
      <c r="L417" s="14" t="s">
        <v>101</v>
      </c>
      <c r="M417" s="20" t="s">
        <v>237</v>
      </c>
      <c r="N417" s="14" t="s">
        <v>103</v>
      </c>
      <c r="O417" s="12">
        <f t="shared" si="18"/>
        <v>10</v>
      </c>
      <c r="P417" t="str">
        <f t="shared" si="20"/>
        <v>20244280</v>
      </c>
      <c r="Q417">
        <f t="shared" si="19"/>
        <v>1</v>
      </c>
      <c r="R417" s="21"/>
    </row>
    <row r="418" spans="1:18" x14ac:dyDescent="0.3">
      <c r="A418" s="14">
        <v>6305</v>
      </c>
      <c r="B418" s="8" t="s">
        <v>96</v>
      </c>
      <c r="C418" s="15">
        <v>20244281</v>
      </c>
      <c r="D418" s="16">
        <v>8698902442817</v>
      </c>
      <c r="E418" s="14" t="s">
        <v>1148</v>
      </c>
      <c r="F418" s="17" t="s">
        <v>1149</v>
      </c>
      <c r="G418" s="18">
        <v>5</v>
      </c>
      <c r="H418" s="19">
        <v>0</v>
      </c>
      <c r="I418" s="18">
        <v>0</v>
      </c>
      <c r="J418" s="8" t="s">
        <v>100</v>
      </c>
      <c r="K418" s="14">
        <v>1649</v>
      </c>
      <c r="L418" s="14" t="s">
        <v>101</v>
      </c>
      <c r="M418" s="20" t="s">
        <v>237</v>
      </c>
      <c r="N418" s="14" t="s">
        <v>103</v>
      </c>
      <c r="O418" s="12">
        <f t="shared" si="18"/>
        <v>10</v>
      </c>
      <c r="P418" t="str">
        <f t="shared" si="20"/>
        <v>20244281</v>
      </c>
      <c r="Q418">
        <f t="shared" si="19"/>
        <v>5</v>
      </c>
      <c r="R418" s="21"/>
    </row>
    <row r="419" spans="1:18" x14ac:dyDescent="0.3">
      <c r="A419" s="14">
        <v>6304</v>
      </c>
      <c r="B419" s="8" t="s">
        <v>96</v>
      </c>
      <c r="C419" s="15">
        <v>20244495</v>
      </c>
      <c r="D419" s="16">
        <v>8698902444958</v>
      </c>
      <c r="E419" s="14" t="s">
        <v>1150</v>
      </c>
      <c r="F419" s="17" t="s">
        <v>1151</v>
      </c>
      <c r="G419" s="18">
        <v>8</v>
      </c>
      <c r="H419" s="19">
        <v>0</v>
      </c>
      <c r="I419" s="18">
        <v>0</v>
      </c>
      <c r="J419" s="8" t="s">
        <v>100</v>
      </c>
      <c r="K419" s="14">
        <v>1899</v>
      </c>
      <c r="L419" s="14" t="s">
        <v>101</v>
      </c>
      <c r="M419" s="20" t="s">
        <v>237</v>
      </c>
      <c r="N419" s="14" t="s">
        <v>103</v>
      </c>
      <c r="O419" s="12">
        <f t="shared" si="18"/>
        <v>10</v>
      </c>
      <c r="P419" t="str">
        <f t="shared" si="20"/>
        <v>20244495</v>
      </c>
      <c r="Q419">
        <f t="shared" si="19"/>
        <v>8</v>
      </c>
      <c r="R419" s="21"/>
    </row>
    <row r="420" spans="1:18" x14ac:dyDescent="0.3">
      <c r="A420" s="14">
        <v>6319</v>
      </c>
      <c r="B420" s="8" t="s">
        <v>96</v>
      </c>
      <c r="C420" s="15">
        <v>20244513</v>
      </c>
      <c r="D420" s="16">
        <v>8698902445139</v>
      </c>
      <c r="E420" s="14" t="s">
        <v>1152</v>
      </c>
      <c r="F420" s="17" t="s">
        <v>1153</v>
      </c>
      <c r="G420" s="18">
        <v>2</v>
      </c>
      <c r="H420" s="19">
        <v>0</v>
      </c>
      <c r="I420" s="18">
        <v>0</v>
      </c>
      <c r="J420" s="8" t="s">
        <v>100</v>
      </c>
      <c r="K420" s="14">
        <v>2249</v>
      </c>
      <c r="L420" s="14" t="s">
        <v>101</v>
      </c>
      <c r="M420" s="20" t="s">
        <v>237</v>
      </c>
      <c r="N420" s="14" t="s">
        <v>103</v>
      </c>
      <c r="O420" s="12">
        <f t="shared" si="18"/>
        <v>10</v>
      </c>
      <c r="P420" t="str">
        <f t="shared" si="20"/>
        <v>20244513</v>
      </c>
      <c r="Q420">
        <f t="shared" si="19"/>
        <v>2</v>
      </c>
      <c r="R420" s="21"/>
    </row>
    <row r="421" spans="1:18" x14ac:dyDescent="0.3">
      <c r="A421" s="14">
        <v>7194</v>
      </c>
      <c r="B421" s="8" t="s">
        <v>96</v>
      </c>
      <c r="C421" s="15">
        <v>20244831</v>
      </c>
      <c r="D421" s="16">
        <v>8698902448314</v>
      </c>
      <c r="E421" s="14" t="s">
        <v>1154</v>
      </c>
      <c r="F421" s="17" t="s">
        <v>1155</v>
      </c>
      <c r="G421" s="18">
        <v>2</v>
      </c>
      <c r="I421" s="18">
        <v>0</v>
      </c>
      <c r="J421" s="8" t="s">
        <v>100</v>
      </c>
      <c r="K421" s="14">
        <v>1849</v>
      </c>
      <c r="L421" s="14" t="s">
        <v>101</v>
      </c>
      <c r="M421" s="20" t="s">
        <v>237</v>
      </c>
      <c r="N421" s="14" t="s">
        <v>103</v>
      </c>
      <c r="O421" s="12">
        <f t="shared" si="18"/>
        <v>10</v>
      </c>
      <c r="P421" t="str">
        <f t="shared" si="20"/>
        <v>20244831</v>
      </c>
      <c r="Q421">
        <f t="shared" si="19"/>
        <v>2</v>
      </c>
      <c r="R421" s="21"/>
    </row>
    <row r="422" spans="1:18" x14ac:dyDescent="0.3">
      <c r="A422" s="14">
        <v>7195</v>
      </c>
      <c r="B422" s="8" t="s">
        <v>96</v>
      </c>
      <c r="C422" s="15">
        <v>20244829</v>
      </c>
      <c r="D422" s="16">
        <v>8698902448291</v>
      </c>
      <c r="E422" s="14" t="s">
        <v>1156</v>
      </c>
      <c r="F422" s="17" t="s">
        <v>1157</v>
      </c>
      <c r="G422" s="18">
        <v>2</v>
      </c>
      <c r="I422" s="18">
        <v>0</v>
      </c>
      <c r="J422" s="8" t="s">
        <v>100</v>
      </c>
      <c r="K422" s="14">
        <v>1849</v>
      </c>
      <c r="L422" s="14" t="s">
        <v>101</v>
      </c>
      <c r="M422" s="20" t="s">
        <v>237</v>
      </c>
      <c r="N422" s="14" t="s">
        <v>103</v>
      </c>
      <c r="O422" s="12">
        <f t="shared" si="18"/>
        <v>10</v>
      </c>
      <c r="P422" t="str">
        <f t="shared" si="20"/>
        <v>20244829</v>
      </c>
      <c r="Q422">
        <f t="shared" si="19"/>
        <v>2</v>
      </c>
      <c r="R422" s="21"/>
    </row>
    <row r="423" spans="1:18" x14ac:dyDescent="0.3">
      <c r="A423" s="14">
        <v>4037</v>
      </c>
      <c r="B423" s="8" t="s">
        <v>96</v>
      </c>
      <c r="C423" s="15">
        <v>20242393</v>
      </c>
      <c r="D423" s="16">
        <v>8698902423939</v>
      </c>
      <c r="E423" s="14" t="s">
        <v>1158</v>
      </c>
      <c r="F423" s="17" t="s">
        <v>1159</v>
      </c>
      <c r="G423" s="18">
        <v>2</v>
      </c>
      <c r="H423" s="19">
        <v>0</v>
      </c>
      <c r="I423" s="18">
        <v>0</v>
      </c>
      <c r="J423" s="8" t="s">
        <v>100</v>
      </c>
      <c r="K423" s="14">
        <v>1599</v>
      </c>
      <c r="L423" s="14" t="s">
        <v>101</v>
      </c>
      <c r="M423" s="20" t="s">
        <v>237</v>
      </c>
      <c r="N423" s="14" t="s">
        <v>103</v>
      </c>
      <c r="O423" s="12">
        <f t="shared" si="18"/>
        <v>10</v>
      </c>
      <c r="P423" t="str">
        <f t="shared" si="20"/>
        <v>20242393</v>
      </c>
      <c r="Q423">
        <f t="shared" si="19"/>
        <v>2</v>
      </c>
      <c r="R423" s="21"/>
    </row>
    <row r="424" spans="1:18" x14ac:dyDescent="0.3">
      <c r="A424" s="14">
        <v>5205</v>
      </c>
      <c r="B424" s="8" t="s">
        <v>96</v>
      </c>
      <c r="C424" s="15" t="s">
        <v>1160</v>
      </c>
      <c r="D424" s="16">
        <v>8710103896609</v>
      </c>
      <c r="E424" s="14" t="s">
        <v>1161</v>
      </c>
      <c r="F424" s="17" t="s">
        <v>1162</v>
      </c>
      <c r="G424" s="18">
        <v>4</v>
      </c>
      <c r="H424" s="19">
        <v>0</v>
      </c>
      <c r="I424" s="18">
        <v>1</v>
      </c>
      <c r="J424" s="8" t="s">
        <v>100</v>
      </c>
      <c r="K424" s="14">
        <v>17249</v>
      </c>
      <c r="L424" s="14" t="s">
        <v>1080</v>
      </c>
      <c r="M424" s="20" t="s">
        <v>102</v>
      </c>
      <c r="N424" s="14" t="s">
        <v>103</v>
      </c>
      <c r="O424" s="12">
        <f t="shared" si="18"/>
        <v>10</v>
      </c>
      <c r="P424" t="str">
        <f t="shared" si="20"/>
        <v>XB9125/07</v>
      </c>
      <c r="Q424">
        <f t="shared" si="19"/>
        <v>4</v>
      </c>
      <c r="R424" s="21"/>
    </row>
    <row r="425" spans="1:18" x14ac:dyDescent="0.3">
      <c r="A425" s="14">
        <v>5206</v>
      </c>
      <c r="B425" s="8" t="s">
        <v>96</v>
      </c>
      <c r="C425" s="15" t="s">
        <v>1163</v>
      </c>
      <c r="D425" s="16">
        <v>8710103904151</v>
      </c>
      <c r="E425" s="14" t="s">
        <v>1164</v>
      </c>
      <c r="F425" s="17" t="s">
        <v>1165</v>
      </c>
      <c r="G425" s="18">
        <v>2</v>
      </c>
      <c r="H425" s="19">
        <v>0</v>
      </c>
      <c r="I425" s="18">
        <v>1</v>
      </c>
      <c r="J425" s="8" t="s">
        <v>100</v>
      </c>
      <c r="K425" s="14">
        <v>20649</v>
      </c>
      <c r="L425" s="14" t="s">
        <v>1080</v>
      </c>
      <c r="M425" s="20" t="s">
        <v>102</v>
      </c>
      <c r="N425" s="14" t="s">
        <v>103</v>
      </c>
      <c r="O425" s="12">
        <f t="shared" si="18"/>
        <v>10</v>
      </c>
      <c r="P425" t="str">
        <f t="shared" si="20"/>
        <v>XB9155/07</v>
      </c>
      <c r="Q425">
        <f t="shared" si="19"/>
        <v>2</v>
      </c>
      <c r="R425" s="21"/>
    </row>
    <row r="426" spans="1:18" x14ac:dyDescent="0.3">
      <c r="A426" s="14">
        <v>5207</v>
      </c>
      <c r="B426" s="8" t="s">
        <v>96</v>
      </c>
      <c r="C426" s="15" t="s">
        <v>1166</v>
      </c>
      <c r="D426" s="16">
        <v>8710103904168</v>
      </c>
      <c r="E426" s="14" t="s">
        <v>1167</v>
      </c>
      <c r="F426" s="17" t="s">
        <v>1168</v>
      </c>
      <c r="G426" s="18">
        <v>6</v>
      </c>
      <c r="H426" s="19">
        <v>0</v>
      </c>
      <c r="I426" s="18">
        <v>0</v>
      </c>
      <c r="J426" s="8" t="s">
        <v>100</v>
      </c>
      <c r="K426" s="14">
        <v>21549</v>
      </c>
      <c r="L426" s="14" t="s">
        <v>1080</v>
      </c>
      <c r="M426" s="20" t="s">
        <v>102</v>
      </c>
      <c r="N426" s="14" t="s">
        <v>103</v>
      </c>
      <c r="O426" s="12">
        <f t="shared" si="18"/>
        <v>10</v>
      </c>
      <c r="P426" t="str">
        <f t="shared" si="20"/>
        <v>XB9185/07</v>
      </c>
      <c r="Q426">
        <f t="shared" si="19"/>
        <v>6</v>
      </c>
      <c r="R426" s="21"/>
    </row>
    <row r="427" spans="1:18" x14ac:dyDescent="0.3">
      <c r="A427" s="14">
        <v>4401</v>
      </c>
      <c r="B427" s="8" t="s">
        <v>96</v>
      </c>
      <c r="C427" s="15" t="s">
        <v>1169</v>
      </c>
      <c r="D427" s="16">
        <v>8710103796282</v>
      </c>
      <c r="E427" s="14" t="s">
        <v>1170</v>
      </c>
      <c r="F427" s="17" t="s">
        <v>1171</v>
      </c>
      <c r="G427" s="18">
        <v>10</v>
      </c>
      <c r="H427" s="19">
        <v>0</v>
      </c>
      <c r="I427" s="18">
        <v>0</v>
      </c>
      <c r="J427" s="8" t="s">
        <v>100</v>
      </c>
      <c r="K427" s="14">
        <v>9699</v>
      </c>
      <c r="L427" s="14" t="s">
        <v>1080</v>
      </c>
      <c r="M427" s="20" t="s">
        <v>102</v>
      </c>
      <c r="N427" s="14" t="s">
        <v>103</v>
      </c>
      <c r="O427" s="12">
        <f t="shared" si="18"/>
        <v>10</v>
      </c>
      <c r="P427" t="str">
        <f t="shared" si="20"/>
        <v>FC9332/07</v>
      </c>
      <c r="Q427">
        <f t="shared" si="19"/>
        <v>10</v>
      </c>
      <c r="R427" s="21"/>
    </row>
    <row r="428" spans="1:18" x14ac:dyDescent="0.3">
      <c r="A428" s="14">
        <v>7343</v>
      </c>
      <c r="B428" s="8" t="s">
        <v>96</v>
      </c>
      <c r="C428" s="15" t="s">
        <v>1172</v>
      </c>
      <c r="D428" s="16">
        <v>8710103927280</v>
      </c>
      <c r="E428" s="14" t="s">
        <v>1173</v>
      </c>
      <c r="F428" s="17" t="s">
        <v>1174</v>
      </c>
      <c r="G428" s="18">
        <v>6</v>
      </c>
      <c r="H428" s="19">
        <v>0</v>
      </c>
      <c r="I428" s="18">
        <v>0</v>
      </c>
      <c r="J428" s="8" t="s">
        <v>100</v>
      </c>
      <c r="K428" s="14">
        <v>7449</v>
      </c>
      <c r="L428" s="14" t="s">
        <v>1080</v>
      </c>
      <c r="M428" s="20" t="s">
        <v>102</v>
      </c>
      <c r="N428" s="14" t="s">
        <v>103</v>
      </c>
      <c r="O428" s="12">
        <f t="shared" si="18"/>
        <v>10</v>
      </c>
      <c r="P428" t="str">
        <f t="shared" si="20"/>
        <v>XB2142/09</v>
      </c>
      <c r="Q428">
        <f t="shared" si="19"/>
        <v>6</v>
      </c>
      <c r="R428" s="21"/>
    </row>
    <row r="429" spans="1:18" x14ac:dyDescent="0.3">
      <c r="A429" s="14">
        <v>6823</v>
      </c>
      <c r="B429" s="8" t="s">
        <v>96</v>
      </c>
      <c r="C429" s="15" t="s">
        <v>1175</v>
      </c>
      <c r="D429" s="16">
        <v>8720389027758</v>
      </c>
      <c r="E429" s="14" t="s">
        <v>1176</v>
      </c>
      <c r="F429" s="17" t="s">
        <v>1177</v>
      </c>
      <c r="G429" s="18">
        <v>3</v>
      </c>
      <c r="H429" s="19">
        <v>0</v>
      </c>
      <c r="I429" s="18">
        <v>0</v>
      </c>
      <c r="J429" s="8" t="s">
        <v>100</v>
      </c>
      <c r="K429" s="14">
        <v>12949</v>
      </c>
      <c r="L429" s="14" t="s">
        <v>1080</v>
      </c>
      <c r="M429" s="20" t="s">
        <v>102</v>
      </c>
      <c r="N429" s="14" t="s">
        <v>103</v>
      </c>
      <c r="O429" s="12">
        <f t="shared" si="18"/>
        <v>10</v>
      </c>
      <c r="P429" t="str">
        <f t="shared" si="20"/>
        <v>XB7150/07</v>
      </c>
      <c r="Q429">
        <f t="shared" si="19"/>
        <v>3</v>
      </c>
      <c r="R429" s="21"/>
    </row>
    <row r="430" spans="1:18" x14ac:dyDescent="0.3">
      <c r="A430" s="14">
        <v>7401</v>
      </c>
      <c r="B430" s="8" t="s">
        <v>96</v>
      </c>
      <c r="C430" s="15" t="s">
        <v>1178</v>
      </c>
      <c r="D430" s="16">
        <v>8720389064319</v>
      </c>
      <c r="E430" s="14" t="s">
        <v>1179</v>
      </c>
      <c r="F430" s="17" t="s">
        <v>1180</v>
      </c>
      <c r="G430" s="18">
        <v>6</v>
      </c>
      <c r="H430" s="19">
        <v>0</v>
      </c>
      <c r="I430" s="18">
        <v>0</v>
      </c>
      <c r="J430" s="8" t="s">
        <v>100</v>
      </c>
      <c r="K430" s="14">
        <v>15499</v>
      </c>
      <c r="L430" s="14" t="s">
        <v>1080</v>
      </c>
      <c r="M430" s="20" t="s">
        <v>102</v>
      </c>
      <c r="N430" s="14" t="s">
        <v>103</v>
      </c>
      <c r="O430" s="12">
        <f t="shared" si="18"/>
        <v>10</v>
      </c>
      <c r="P430" t="str">
        <f t="shared" si="20"/>
        <v>XB7151/07</v>
      </c>
      <c r="Q430">
        <f t="shared" si="19"/>
        <v>6</v>
      </c>
      <c r="R430" s="21"/>
    </row>
    <row r="431" spans="1:18" x14ac:dyDescent="0.3">
      <c r="A431" s="14">
        <v>7481</v>
      </c>
      <c r="B431" s="8" t="s">
        <v>96</v>
      </c>
      <c r="C431" s="15" t="s">
        <v>1181</v>
      </c>
      <c r="D431" s="16">
        <v>8720389041532</v>
      </c>
      <c r="E431" s="14" t="s">
        <v>1182</v>
      </c>
      <c r="F431" s="17" t="s">
        <v>1183</v>
      </c>
      <c r="G431" s="18">
        <v>4</v>
      </c>
      <c r="H431" s="19">
        <v>0</v>
      </c>
      <c r="I431" s="18">
        <v>0</v>
      </c>
      <c r="J431" s="8" t="s">
        <v>100</v>
      </c>
      <c r="K431" s="14">
        <v>14999</v>
      </c>
      <c r="L431" s="14" t="s">
        <v>1080</v>
      </c>
      <c r="M431" s="20" t="s">
        <v>102</v>
      </c>
      <c r="N431" s="14" t="s">
        <v>103</v>
      </c>
      <c r="O431" s="12">
        <f t="shared" si="18"/>
        <v>10</v>
      </c>
      <c r="P431" t="str">
        <f t="shared" si="20"/>
        <v>XC6557/01</v>
      </c>
      <c r="Q431">
        <f t="shared" si="19"/>
        <v>4</v>
      </c>
      <c r="R431" s="21"/>
    </row>
    <row r="432" spans="1:18" x14ac:dyDescent="0.3">
      <c r="A432" s="14">
        <v>7435</v>
      </c>
      <c r="B432" s="8" t="s">
        <v>96</v>
      </c>
      <c r="C432" s="15" t="s">
        <v>1184</v>
      </c>
      <c r="D432" s="16">
        <v>8720389042539</v>
      </c>
      <c r="E432" s="14" t="s">
        <v>1185</v>
      </c>
      <c r="F432" s="17" t="s">
        <v>1186</v>
      </c>
      <c r="G432" s="18">
        <v>6</v>
      </c>
      <c r="H432" s="19">
        <v>0</v>
      </c>
      <c r="I432" s="18">
        <v>0</v>
      </c>
      <c r="J432" s="8" t="s">
        <v>100</v>
      </c>
      <c r="K432" s="14">
        <v>25999</v>
      </c>
      <c r="L432" s="14" t="s">
        <v>1080</v>
      </c>
      <c r="M432" s="20" t="s">
        <v>102</v>
      </c>
      <c r="N432" s="14" t="s">
        <v>103</v>
      </c>
      <c r="O432" s="12">
        <f t="shared" si="18"/>
        <v>10</v>
      </c>
      <c r="P432" t="str">
        <f t="shared" si="20"/>
        <v>XC7055/01</v>
      </c>
      <c r="Q432">
        <f t="shared" si="19"/>
        <v>6</v>
      </c>
      <c r="R432" s="21"/>
    </row>
    <row r="433" spans="1:18" x14ac:dyDescent="0.3">
      <c r="A433" s="14">
        <v>7081</v>
      </c>
      <c r="B433" s="8" t="s">
        <v>96</v>
      </c>
      <c r="C433" s="15" t="s">
        <v>1187</v>
      </c>
      <c r="D433" s="16">
        <v>8710103910107</v>
      </c>
      <c r="E433" s="14" t="s">
        <v>1188</v>
      </c>
      <c r="F433" s="17" t="s">
        <v>1189</v>
      </c>
      <c r="G433" s="18">
        <v>2</v>
      </c>
      <c r="H433" s="19">
        <v>0</v>
      </c>
      <c r="I433" s="18">
        <v>0</v>
      </c>
      <c r="J433" s="8" t="s">
        <v>100</v>
      </c>
      <c r="K433" s="14">
        <v>22149</v>
      </c>
      <c r="L433" s="14" t="s">
        <v>1080</v>
      </c>
      <c r="M433" s="20" t="s">
        <v>102</v>
      </c>
      <c r="N433" s="14" t="s">
        <v>103</v>
      </c>
      <c r="O433" s="12">
        <f t="shared" si="18"/>
        <v>10</v>
      </c>
      <c r="P433" t="str">
        <f t="shared" si="20"/>
        <v>XC8049/01</v>
      </c>
      <c r="Q433">
        <f t="shared" si="19"/>
        <v>2</v>
      </c>
      <c r="R433" s="21"/>
    </row>
    <row r="434" spans="1:18" x14ac:dyDescent="0.3">
      <c r="A434" s="14">
        <v>7279</v>
      </c>
      <c r="B434" s="8" t="s">
        <v>96</v>
      </c>
      <c r="C434" s="15" t="s">
        <v>1190</v>
      </c>
      <c r="D434" s="16">
        <v>8720389042546</v>
      </c>
      <c r="E434" s="14" t="s">
        <v>1191</v>
      </c>
      <c r="F434" s="17" t="s">
        <v>1192</v>
      </c>
      <c r="G434" s="18">
        <v>4</v>
      </c>
      <c r="H434" s="19">
        <v>0</v>
      </c>
      <c r="I434" s="18">
        <v>0</v>
      </c>
      <c r="J434" s="8" t="s">
        <v>100</v>
      </c>
      <c r="K434" s="14">
        <v>27999</v>
      </c>
      <c r="L434" s="14" t="s">
        <v>1080</v>
      </c>
      <c r="M434" s="20" t="s">
        <v>102</v>
      </c>
      <c r="N434" s="14" t="s">
        <v>103</v>
      </c>
      <c r="O434" s="12">
        <f t="shared" si="18"/>
        <v>10</v>
      </c>
      <c r="P434" t="str">
        <f t="shared" si="20"/>
        <v>XC8054/01</v>
      </c>
      <c r="Q434">
        <f t="shared" si="19"/>
        <v>4</v>
      </c>
      <c r="R434" s="21"/>
    </row>
    <row r="435" spans="1:18" x14ac:dyDescent="0.3">
      <c r="A435" s="14">
        <v>7302</v>
      </c>
      <c r="B435" s="8" t="s">
        <v>96</v>
      </c>
      <c r="C435" s="15" t="s">
        <v>1193</v>
      </c>
      <c r="E435" s="14" t="s">
        <v>1194</v>
      </c>
      <c r="F435" s="17" t="s">
        <v>1195</v>
      </c>
      <c r="G435" s="18">
        <v>1</v>
      </c>
      <c r="H435" s="19">
        <v>0</v>
      </c>
      <c r="I435" s="18">
        <v>0</v>
      </c>
      <c r="J435" s="8" t="s">
        <v>100</v>
      </c>
      <c r="K435" s="14">
        <v>19999</v>
      </c>
      <c r="L435" s="14" t="s">
        <v>1080</v>
      </c>
      <c r="M435" s="20" t="s">
        <v>102</v>
      </c>
      <c r="N435" s="14" t="s">
        <v>103</v>
      </c>
      <c r="O435" s="12">
        <f t="shared" si="18"/>
        <v>10</v>
      </c>
      <c r="P435" t="str">
        <f t="shared" si="20"/>
        <v>XU2100/20</v>
      </c>
      <c r="Q435">
        <f t="shared" si="19"/>
        <v>1</v>
      </c>
      <c r="R435" s="21"/>
    </row>
    <row r="436" spans="1:18" x14ac:dyDescent="0.3">
      <c r="A436" s="14">
        <v>5291</v>
      </c>
      <c r="B436" s="8" t="s">
        <v>96</v>
      </c>
      <c r="C436" s="15" t="s">
        <v>1196</v>
      </c>
      <c r="D436" s="16">
        <v>8806090093531</v>
      </c>
      <c r="E436" s="14" t="s">
        <v>1197</v>
      </c>
      <c r="F436" s="17" t="s">
        <v>1198</v>
      </c>
      <c r="G436" s="18">
        <v>46</v>
      </c>
      <c r="H436" s="19">
        <v>0</v>
      </c>
      <c r="I436" s="18">
        <v>0</v>
      </c>
      <c r="J436" s="8" t="s">
        <v>100</v>
      </c>
      <c r="K436" s="14">
        <v>5649</v>
      </c>
      <c r="L436" s="14" t="s">
        <v>1080</v>
      </c>
      <c r="M436" s="20" t="s">
        <v>114</v>
      </c>
      <c r="N436" s="14" t="s">
        <v>103</v>
      </c>
      <c r="O436" s="12">
        <f t="shared" si="18"/>
        <v>10</v>
      </c>
      <c r="P436" t="str">
        <f t="shared" si="20"/>
        <v>VC07R302M</v>
      </c>
      <c r="Q436">
        <f t="shared" si="19"/>
        <v>46</v>
      </c>
      <c r="R436" s="21"/>
    </row>
    <row r="437" spans="1:18" x14ac:dyDescent="0.3">
      <c r="A437" s="14">
        <v>7071</v>
      </c>
      <c r="B437" s="8" t="s">
        <v>96</v>
      </c>
      <c r="C437" s="15" t="s">
        <v>1199</v>
      </c>
      <c r="D437" s="16">
        <v>8806094747058</v>
      </c>
      <c r="E437" s="14" t="s">
        <v>1200</v>
      </c>
      <c r="F437" s="17" t="s">
        <v>1201</v>
      </c>
      <c r="G437" s="18">
        <v>1</v>
      </c>
      <c r="H437" s="19">
        <v>0</v>
      </c>
      <c r="I437" s="18">
        <v>0</v>
      </c>
      <c r="J437" s="8" t="s">
        <v>100</v>
      </c>
      <c r="K437" s="14">
        <v>2999</v>
      </c>
      <c r="L437" s="14" t="s">
        <v>1080</v>
      </c>
      <c r="M437" s="20" t="s">
        <v>114</v>
      </c>
      <c r="N437" s="14" t="s">
        <v>103</v>
      </c>
      <c r="O437" s="12">
        <f t="shared" si="18"/>
        <v>10</v>
      </c>
      <c r="P437" t="str">
        <f t="shared" si="20"/>
        <v>VCA-SBTA6</v>
      </c>
      <c r="Q437">
        <f t="shared" si="19"/>
        <v>1</v>
      </c>
      <c r="R437" s="21"/>
    </row>
    <row r="438" spans="1:18" x14ac:dyDescent="0.3">
      <c r="A438" s="14">
        <v>6189</v>
      </c>
      <c r="B438" s="8" t="s">
        <v>96</v>
      </c>
      <c r="C438" s="15" t="s">
        <v>1202</v>
      </c>
      <c r="D438" s="16">
        <v>8806092937857</v>
      </c>
      <c r="E438" s="14" t="s">
        <v>1203</v>
      </c>
      <c r="F438" s="17" t="s">
        <v>1204</v>
      </c>
      <c r="G438" s="18">
        <v>6</v>
      </c>
      <c r="H438" s="19">
        <v>0</v>
      </c>
      <c r="I438" s="18">
        <v>0</v>
      </c>
      <c r="J438" s="8" t="s">
        <v>100</v>
      </c>
      <c r="K438" s="14">
        <v>14649</v>
      </c>
      <c r="L438" s="14" t="s">
        <v>1080</v>
      </c>
      <c r="M438" s="20" t="s">
        <v>114</v>
      </c>
      <c r="N438" s="14" t="s">
        <v>103</v>
      </c>
      <c r="O438" s="12">
        <f t="shared" si="18"/>
        <v>10</v>
      </c>
      <c r="P438" t="str">
        <f t="shared" si="20"/>
        <v>VS15A6031</v>
      </c>
      <c r="Q438">
        <f t="shared" si="19"/>
        <v>6</v>
      </c>
      <c r="R438" s="21"/>
    </row>
    <row r="439" spans="1:18" x14ac:dyDescent="0.3">
      <c r="A439" s="14">
        <v>6190</v>
      </c>
      <c r="B439" s="8" t="s">
        <v>96</v>
      </c>
      <c r="C439" s="15" t="s">
        <v>1205</v>
      </c>
      <c r="D439" s="16">
        <v>8806092802896</v>
      </c>
      <c r="E439" s="14" t="s">
        <v>1206</v>
      </c>
      <c r="F439" s="17" t="s">
        <v>1207</v>
      </c>
      <c r="G439" s="18">
        <v>2</v>
      </c>
      <c r="H439" s="19">
        <v>0</v>
      </c>
      <c r="I439" s="18">
        <v>0</v>
      </c>
      <c r="J439" s="8" t="s">
        <v>100</v>
      </c>
      <c r="K439" s="14">
        <v>12799</v>
      </c>
      <c r="L439" s="14" t="s">
        <v>1080</v>
      </c>
      <c r="M439" s="20" t="s">
        <v>114</v>
      </c>
      <c r="N439" s="14" t="s">
        <v>103</v>
      </c>
      <c r="O439" s="12">
        <f t="shared" si="18"/>
        <v>10</v>
      </c>
      <c r="P439" t="str">
        <f t="shared" si="20"/>
        <v>VS15A6031</v>
      </c>
      <c r="Q439">
        <f t="shared" si="19"/>
        <v>2</v>
      </c>
      <c r="R439" s="21"/>
    </row>
    <row r="440" spans="1:18" x14ac:dyDescent="0.3">
      <c r="A440" s="14">
        <v>6191</v>
      </c>
      <c r="B440" s="8" t="s">
        <v>96</v>
      </c>
      <c r="C440" s="15" t="s">
        <v>1208</v>
      </c>
      <c r="D440" s="16">
        <v>8806092075597</v>
      </c>
      <c r="E440" s="14" t="s">
        <v>1209</v>
      </c>
      <c r="F440" s="17" t="s">
        <v>1210</v>
      </c>
      <c r="G440" s="18">
        <v>2</v>
      </c>
      <c r="H440" s="19">
        <v>0</v>
      </c>
      <c r="I440" s="18">
        <v>0</v>
      </c>
      <c r="J440" s="8" t="s">
        <v>100</v>
      </c>
      <c r="K440" s="14">
        <v>14699</v>
      </c>
      <c r="L440" s="14" t="s">
        <v>1080</v>
      </c>
      <c r="M440" s="20" t="s">
        <v>114</v>
      </c>
      <c r="N440" s="14" t="s">
        <v>103</v>
      </c>
      <c r="O440" s="12">
        <f t="shared" si="18"/>
        <v>10</v>
      </c>
      <c r="P440" t="str">
        <f t="shared" si="20"/>
        <v>VS15T7036</v>
      </c>
      <c r="Q440">
        <f t="shared" si="19"/>
        <v>2</v>
      </c>
      <c r="R440" s="21"/>
    </row>
    <row r="441" spans="1:18" x14ac:dyDescent="0.3">
      <c r="A441" s="14">
        <v>6702</v>
      </c>
      <c r="B441" s="8" t="s">
        <v>96</v>
      </c>
      <c r="C441" s="15" t="s">
        <v>1211</v>
      </c>
      <c r="D441" s="16">
        <v>8806095103846</v>
      </c>
      <c r="E441" s="14" t="s">
        <v>1212</v>
      </c>
      <c r="F441" s="17" t="s">
        <v>1213</v>
      </c>
      <c r="G441" s="18">
        <v>2</v>
      </c>
      <c r="H441" s="19">
        <v>0</v>
      </c>
      <c r="I441" s="18">
        <v>0</v>
      </c>
      <c r="J441" s="8" t="s">
        <v>100</v>
      </c>
      <c r="K441" s="14">
        <v>21549</v>
      </c>
      <c r="L441" s="14" t="s">
        <v>1080</v>
      </c>
      <c r="M441" s="20" t="s">
        <v>114</v>
      </c>
      <c r="N441" s="14" t="s">
        <v>103</v>
      </c>
      <c r="O441" s="12">
        <f t="shared" si="18"/>
        <v>10</v>
      </c>
      <c r="P441" t="str">
        <f t="shared" si="20"/>
        <v>VS20C8524</v>
      </c>
      <c r="Q441">
        <f t="shared" si="19"/>
        <v>2</v>
      </c>
      <c r="R441" s="21"/>
    </row>
    <row r="442" spans="1:18" x14ac:dyDescent="0.3">
      <c r="A442" s="14">
        <v>7429</v>
      </c>
      <c r="B442" s="8" t="s">
        <v>96</v>
      </c>
      <c r="C442" s="15" t="s">
        <v>1214</v>
      </c>
      <c r="D442" s="16">
        <v>8806097264804</v>
      </c>
      <c r="E442" s="14" t="s">
        <v>1215</v>
      </c>
      <c r="F442" s="17" t="s">
        <v>1216</v>
      </c>
      <c r="G442" s="18">
        <v>4</v>
      </c>
      <c r="H442" s="19">
        <v>0</v>
      </c>
      <c r="I442" s="18">
        <v>0</v>
      </c>
      <c r="J442" s="8" t="s">
        <v>100</v>
      </c>
      <c r="K442" s="14">
        <v>34000</v>
      </c>
      <c r="L442" s="14" t="s">
        <v>1080</v>
      </c>
      <c r="M442" s="20" t="s">
        <v>114</v>
      </c>
      <c r="N442" s="14" t="s">
        <v>103</v>
      </c>
      <c r="O442" s="12">
        <f t="shared" si="18"/>
        <v>10</v>
      </c>
      <c r="P442" t="str">
        <f t="shared" si="20"/>
        <v>VS80F28DF</v>
      </c>
      <c r="Q442">
        <f t="shared" si="19"/>
        <v>4</v>
      </c>
      <c r="R442" s="21"/>
    </row>
    <row r="443" spans="1:18" x14ac:dyDescent="0.3">
      <c r="A443" s="14">
        <v>7353</v>
      </c>
      <c r="B443" s="8" t="s">
        <v>96</v>
      </c>
      <c r="C443" s="15" t="s">
        <v>1217</v>
      </c>
      <c r="D443" s="16">
        <v>8806097106623</v>
      </c>
      <c r="E443" s="14" t="s">
        <v>1218</v>
      </c>
      <c r="F443" s="17" t="s">
        <v>1219</v>
      </c>
      <c r="G443" s="18">
        <v>2</v>
      </c>
      <c r="H443" s="19">
        <v>0</v>
      </c>
      <c r="I443" s="18">
        <v>0</v>
      </c>
      <c r="J443" s="8" t="s">
        <v>100</v>
      </c>
      <c r="K443" s="14">
        <v>52899</v>
      </c>
      <c r="L443" s="14" t="s">
        <v>1080</v>
      </c>
      <c r="M443" s="20" t="s">
        <v>114</v>
      </c>
      <c r="N443" s="14" t="s">
        <v>103</v>
      </c>
      <c r="O443" s="12">
        <f t="shared" si="18"/>
        <v>10</v>
      </c>
      <c r="P443" t="str">
        <f t="shared" si="20"/>
        <v>VS90F40DA</v>
      </c>
      <c r="Q443">
        <f t="shared" si="19"/>
        <v>2</v>
      </c>
      <c r="R443" s="21"/>
    </row>
    <row r="444" spans="1:18" x14ac:dyDescent="0.3">
      <c r="A444" s="14">
        <v>6027</v>
      </c>
      <c r="B444" s="8" t="s">
        <v>96</v>
      </c>
      <c r="C444" s="15">
        <v>20264755</v>
      </c>
      <c r="D444" s="16">
        <v>8698902647557</v>
      </c>
      <c r="E444" s="14" t="s">
        <v>1220</v>
      </c>
      <c r="F444" s="17" t="s">
        <v>1221</v>
      </c>
      <c r="G444" s="18">
        <v>19</v>
      </c>
      <c r="H444" s="19">
        <v>0</v>
      </c>
      <c r="I444" s="18">
        <v>0</v>
      </c>
      <c r="J444" s="8" t="s">
        <v>100</v>
      </c>
      <c r="K444" s="14">
        <v>5449</v>
      </c>
      <c r="L444" s="14" t="s">
        <v>1080</v>
      </c>
      <c r="M444" s="20" t="s">
        <v>237</v>
      </c>
      <c r="N444" s="14" t="s">
        <v>103</v>
      </c>
      <c r="O444" s="12">
        <f t="shared" si="18"/>
        <v>10</v>
      </c>
      <c r="P444" t="str">
        <f t="shared" si="20"/>
        <v>20264755</v>
      </c>
      <c r="Q444">
        <f t="shared" si="19"/>
        <v>19</v>
      </c>
      <c r="R444" s="21"/>
    </row>
    <row r="445" spans="1:18" x14ac:dyDescent="0.3">
      <c r="A445" s="14">
        <v>5980</v>
      </c>
      <c r="B445" s="8" t="s">
        <v>96</v>
      </c>
      <c r="C445" s="15">
        <v>20264754</v>
      </c>
      <c r="D445" s="16">
        <v>8698902647540</v>
      </c>
      <c r="E445" s="14" t="s">
        <v>1222</v>
      </c>
      <c r="F445" s="17" t="s">
        <v>1223</v>
      </c>
      <c r="G445" s="18">
        <v>38</v>
      </c>
      <c r="H445" s="19">
        <v>0</v>
      </c>
      <c r="I445" s="18">
        <v>0</v>
      </c>
      <c r="J445" s="8" t="s">
        <v>100</v>
      </c>
      <c r="K445" s="14">
        <v>7199</v>
      </c>
      <c r="L445" s="14" t="s">
        <v>1080</v>
      </c>
      <c r="M445" s="20" t="s">
        <v>237</v>
      </c>
      <c r="N445" s="14" t="s">
        <v>103</v>
      </c>
      <c r="O445" s="12">
        <f t="shared" si="18"/>
        <v>10</v>
      </c>
      <c r="P445" t="str">
        <f t="shared" si="20"/>
        <v>20264754</v>
      </c>
      <c r="Q445">
        <f t="shared" si="19"/>
        <v>38</v>
      </c>
      <c r="R445" s="21"/>
    </row>
    <row r="446" spans="1:18" x14ac:dyDescent="0.3">
      <c r="A446" s="14">
        <v>5987</v>
      </c>
      <c r="B446" s="8" t="s">
        <v>96</v>
      </c>
      <c r="C446" s="15">
        <v>20264753</v>
      </c>
      <c r="D446" s="16">
        <v>8698902647533</v>
      </c>
      <c r="E446" s="14" t="s">
        <v>1224</v>
      </c>
      <c r="F446" s="17" t="s">
        <v>1225</v>
      </c>
      <c r="G446" s="18">
        <v>4</v>
      </c>
      <c r="H446" s="19">
        <v>0</v>
      </c>
      <c r="I446" s="18">
        <v>0</v>
      </c>
      <c r="J446" s="8" t="s">
        <v>100</v>
      </c>
      <c r="K446" s="14">
        <v>8049</v>
      </c>
      <c r="L446" s="14" t="s">
        <v>1080</v>
      </c>
      <c r="M446" s="20" t="s">
        <v>237</v>
      </c>
      <c r="N446" s="14" t="s">
        <v>103</v>
      </c>
      <c r="O446" s="12">
        <f t="shared" si="18"/>
        <v>10</v>
      </c>
      <c r="P446" t="str">
        <f t="shared" si="20"/>
        <v>20264753</v>
      </c>
      <c r="Q446">
        <f t="shared" si="19"/>
        <v>4</v>
      </c>
      <c r="R446" s="21"/>
    </row>
    <row r="447" spans="1:18" x14ac:dyDescent="0.3">
      <c r="A447" s="14">
        <v>6197</v>
      </c>
      <c r="B447" s="8" t="s">
        <v>96</v>
      </c>
      <c r="C447" s="15">
        <v>20264751</v>
      </c>
      <c r="D447" s="16">
        <v>8698902647519</v>
      </c>
      <c r="E447" s="14" t="s">
        <v>1226</v>
      </c>
      <c r="F447" s="17" t="s">
        <v>1227</v>
      </c>
      <c r="G447" s="18">
        <v>1</v>
      </c>
      <c r="H447" s="19">
        <v>0</v>
      </c>
      <c r="I447" s="18">
        <v>0</v>
      </c>
      <c r="J447" s="8" t="s">
        <v>100</v>
      </c>
      <c r="K447" s="14">
        <v>12349</v>
      </c>
      <c r="L447" s="14" t="s">
        <v>1080</v>
      </c>
      <c r="M447" s="20" t="s">
        <v>237</v>
      </c>
      <c r="N447" s="14" t="s">
        <v>103</v>
      </c>
      <c r="O447" s="12">
        <f t="shared" si="18"/>
        <v>10</v>
      </c>
      <c r="P447" t="str">
        <f t="shared" si="20"/>
        <v>20264751</v>
      </c>
      <c r="Q447">
        <f t="shared" si="19"/>
        <v>1</v>
      </c>
      <c r="R447" s="21"/>
    </row>
    <row r="448" spans="1:18" x14ac:dyDescent="0.3">
      <c r="A448" s="14">
        <v>6204</v>
      </c>
      <c r="B448" s="8" t="s">
        <v>96</v>
      </c>
      <c r="C448" s="15">
        <v>20264749</v>
      </c>
      <c r="D448" s="16">
        <v>8698902647496</v>
      </c>
      <c r="E448" s="14" t="s">
        <v>1228</v>
      </c>
      <c r="F448" s="17" t="s">
        <v>1229</v>
      </c>
      <c r="G448" s="18">
        <v>12</v>
      </c>
      <c r="H448" s="19">
        <v>0</v>
      </c>
      <c r="I448" s="18">
        <v>0</v>
      </c>
      <c r="J448" s="8" t="s">
        <v>100</v>
      </c>
      <c r="K448" s="14">
        <v>13499</v>
      </c>
      <c r="L448" s="14" t="s">
        <v>1080</v>
      </c>
      <c r="M448" s="20" t="s">
        <v>237</v>
      </c>
      <c r="N448" s="14" t="s">
        <v>103</v>
      </c>
      <c r="O448" s="12">
        <f t="shared" si="18"/>
        <v>10</v>
      </c>
      <c r="P448" t="str">
        <f t="shared" si="20"/>
        <v>20264749</v>
      </c>
      <c r="Q448">
        <f t="shared" si="19"/>
        <v>12</v>
      </c>
      <c r="R448" s="21"/>
    </row>
    <row r="449" spans="1:18" x14ac:dyDescent="0.3">
      <c r="A449" s="14">
        <v>6715</v>
      </c>
      <c r="B449" s="8" t="s">
        <v>96</v>
      </c>
      <c r="C449" s="15">
        <v>20264765</v>
      </c>
      <c r="D449" s="16">
        <v>8698902647656</v>
      </c>
      <c r="E449" s="14" t="s">
        <v>1230</v>
      </c>
      <c r="F449" s="17" t="s">
        <v>1231</v>
      </c>
      <c r="G449" s="18">
        <v>1</v>
      </c>
      <c r="H449" s="19">
        <v>0</v>
      </c>
      <c r="I449" s="18">
        <v>0</v>
      </c>
      <c r="J449" s="8" t="s">
        <v>100</v>
      </c>
      <c r="K449" s="14">
        <v>3999</v>
      </c>
      <c r="L449" s="14" t="s">
        <v>1080</v>
      </c>
      <c r="M449" s="20" t="s">
        <v>237</v>
      </c>
      <c r="N449" s="14" t="s">
        <v>103</v>
      </c>
      <c r="O449" s="12">
        <f t="shared" si="18"/>
        <v>10</v>
      </c>
      <c r="P449" t="str">
        <f t="shared" si="20"/>
        <v>20264765</v>
      </c>
      <c r="Q449">
        <f t="shared" si="19"/>
        <v>1</v>
      </c>
      <c r="R449" s="21"/>
    </row>
    <row r="450" spans="1:18" x14ac:dyDescent="0.3">
      <c r="A450" s="14">
        <v>6514</v>
      </c>
      <c r="B450" s="8" t="s">
        <v>96</v>
      </c>
      <c r="C450" s="15">
        <v>20264760</v>
      </c>
      <c r="D450" s="16">
        <v>8698902647601</v>
      </c>
      <c r="E450" s="14" t="s">
        <v>1232</v>
      </c>
      <c r="F450" s="17" t="s">
        <v>1233</v>
      </c>
      <c r="G450" s="18">
        <v>6</v>
      </c>
      <c r="H450" s="19">
        <v>0</v>
      </c>
      <c r="I450" s="18">
        <v>0</v>
      </c>
      <c r="J450" s="8" t="s">
        <v>100</v>
      </c>
      <c r="K450" s="14">
        <v>11799</v>
      </c>
      <c r="L450" s="14" t="s">
        <v>1080</v>
      </c>
      <c r="M450" s="20" t="s">
        <v>237</v>
      </c>
      <c r="N450" s="14" t="s">
        <v>103</v>
      </c>
      <c r="O450" s="12">
        <f t="shared" si="18"/>
        <v>10</v>
      </c>
      <c r="P450" t="str">
        <f t="shared" si="20"/>
        <v>20264760</v>
      </c>
      <c r="Q450">
        <f t="shared" si="19"/>
        <v>6</v>
      </c>
      <c r="R450" s="21"/>
    </row>
    <row r="451" spans="1:18" x14ac:dyDescent="0.3">
      <c r="A451" s="14">
        <v>6551</v>
      </c>
      <c r="B451" s="8" t="s">
        <v>96</v>
      </c>
      <c r="C451" s="15">
        <v>20264762</v>
      </c>
      <c r="D451" s="16">
        <v>8698902647625</v>
      </c>
      <c r="E451" s="14" t="s">
        <v>1234</v>
      </c>
      <c r="F451" s="17" t="s">
        <v>1235</v>
      </c>
      <c r="G451" s="18">
        <v>1</v>
      </c>
      <c r="H451" s="19">
        <v>0</v>
      </c>
      <c r="I451" s="18">
        <v>0</v>
      </c>
      <c r="J451" s="8" t="s">
        <v>100</v>
      </c>
      <c r="K451" s="14">
        <v>14099</v>
      </c>
      <c r="L451" s="14" t="s">
        <v>1080</v>
      </c>
      <c r="M451" s="20" t="s">
        <v>237</v>
      </c>
      <c r="N451" s="14" t="s">
        <v>103</v>
      </c>
      <c r="O451" s="12">
        <f t="shared" ref="O451:O514" si="21">IF(C451&gt;0,10-COUNTIF(AM451:AW451,"-"),"")</f>
        <v>10</v>
      </c>
      <c r="P451" t="str">
        <f t="shared" si="20"/>
        <v>20264762</v>
      </c>
      <c r="Q451">
        <f t="shared" ref="Q451:Q514" si="22">G451-H451</f>
        <v>1</v>
      </c>
      <c r="R451" s="21"/>
    </row>
    <row r="452" spans="1:18" x14ac:dyDescent="0.3">
      <c r="A452" s="14">
        <v>6338</v>
      </c>
      <c r="B452" s="8" t="s">
        <v>96</v>
      </c>
      <c r="C452" s="15">
        <v>20264758</v>
      </c>
      <c r="D452" s="16">
        <v>8698902647588</v>
      </c>
      <c r="E452" s="14" t="s">
        <v>1236</v>
      </c>
      <c r="F452" s="17" t="s">
        <v>1237</v>
      </c>
      <c r="G452" s="18">
        <v>1</v>
      </c>
      <c r="H452" s="19">
        <v>0</v>
      </c>
      <c r="I452" s="18">
        <v>0</v>
      </c>
      <c r="J452" s="8" t="s">
        <v>100</v>
      </c>
      <c r="K452" s="14">
        <v>18149</v>
      </c>
      <c r="L452" s="14" t="s">
        <v>1080</v>
      </c>
      <c r="M452" s="20" t="s">
        <v>237</v>
      </c>
      <c r="N452" s="14" t="s">
        <v>103</v>
      </c>
      <c r="O452" s="12">
        <f t="shared" si="21"/>
        <v>10</v>
      </c>
      <c r="P452" t="str">
        <f t="shared" ref="P452:P515" si="23">IF(LEFT(C452,2)="SM",CONCATENATE(LEFT(C452,7),"✦",MID(C452,11,1)),LEFT(C452,9))</f>
        <v>20264758</v>
      </c>
      <c r="Q452">
        <f t="shared" si="22"/>
        <v>1</v>
      </c>
      <c r="R452" s="21"/>
    </row>
    <row r="453" spans="1:18" x14ac:dyDescent="0.3">
      <c r="A453" s="14">
        <v>6369</v>
      </c>
      <c r="B453" s="8" t="s">
        <v>96</v>
      </c>
      <c r="C453" s="15">
        <v>20264742</v>
      </c>
      <c r="D453" s="16">
        <v>8698902647427</v>
      </c>
      <c r="E453" s="14" t="s">
        <v>1238</v>
      </c>
      <c r="F453" s="17" t="s">
        <v>1239</v>
      </c>
      <c r="G453" s="18">
        <v>15</v>
      </c>
      <c r="H453" s="19">
        <v>0</v>
      </c>
      <c r="I453" s="18">
        <v>0</v>
      </c>
      <c r="J453" s="8" t="s">
        <v>100</v>
      </c>
      <c r="K453" s="14">
        <v>10299</v>
      </c>
      <c r="L453" s="14" t="s">
        <v>1080</v>
      </c>
      <c r="M453" s="20" t="s">
        <v>237</v>
      </c>
      <c r="N453" s="14" t="s">
        <v>103</v>
      </c>
      <c r="O453" s="12">
        <f t="shared" si="21"/>
        <v>10</v>
      </c>
      <c r="P453" t="str">
        <f t="shared" si="23"/>
        <v>20264742</v>
      </c>
      <c r="Q453">
        <f t="shared" si="22"/>
        <v>15</v>
      </c>
      <c r="R453" s="21"/>
    </row>
    <row r="454" spans="1:18" x14ac:dyDescent="0.3">
      <c r="A454" s="14">
        <v>6111</v>
      </c>
      <c r="B454" s="8" t="s">
        <v>96</v>
      </c>
      <c r="C454" s="15">
        <v>20263453</v>
      </c>
      <c r="D454" s="16">
        <v>8698902634533</v>
      </c>
      <c r="E454" s="14" t="s">
        <v>1240</v>
      </c>
      <c r="F454" s="17" t="s">
        <v>1241</v>
      </c>
      <c r="G454" s="18">
        <v>6</v>
      </c>
      <c r="H454" s="19">
        <v>0</v>
      </c>
      <c r="I454" s="18">
        <v>0</v>
      </c>
      <c r="J454" s="8" t="s">
        <v>100</v>
      </c>
      <c r="K454" s="14">
        <v>9799</v>
      </c>
      <c r="L454" s="14" t="s">
        <v>1080</v>
      </c>
      <c r="M454" s="20" t="s">
        <v>237</v>
      </c>
      <c r="N454" s="14" t="s">
        <v>103</v>
      </c>
      <c r="O454" s="12">
        <f t="shared" si="21"/>
        <v>10</v>
      </c>
      <c r="P454" t="str">
        <f t="shared" si="23"/>
        <v>20263453</v>
      </c>
      <c r="Q454">
        <f t="shared" si="22"/>
        <v>6</v>
      </c>
      <c r="R454" s="21"/>
    </row>
    <row r="455" spans="1:18" x14ac:dyDescent="0.3">
      <c r="A455" s="14">
        <v>5859</v>
      </c>
      <c r="B455" s="8" t="s">
        <v>96</v>
      </c>
      <c r="C455" s="15">
        <v>20261616</v>
      </c>
      <c r="D455" s="16">
        <v>8698902616164</v>
      </c>
      <c r="E455" s="14" t="s">
        <v>1242</v>
      </c>
      <c r="F455" s="17" t="s">
        <v>1243</v>
      </c>
      <c r="G455" s="18">
        <v>1</v>
      </c>
      <c r="H455" s="19">
        <v>0</v>
      </c>
      <c r="I455" s="18">
        <v>0</v>
      </c>
      <c r="J455" s="8" t="s">
        <v>100</v>
      </c>
      <c r="K455" s="14">
        <v>5899</v>
      </c>
      <c r="L455" s="14" t="s">
        <v>1080</v>
      </c>
      <c r="M455" s="20" t="s">
        <v>237</v>
      </c>
      <c r="N455" s="14" t="s">
        <v>103</v>
      </c>
      <c r="O455" s="12">
        <f t="shared" si="21"/>
        <v>10</v>
      </c>
      <c r="P455" t="str">
        <f t="shared" si="23"/>
        <v>20261616</v>
      </c>
      <c r="Q455">
        <f t="shared" si="22"/>
        <v>1</v>
      </c>
      <c r="R455" s="21"/>
    </row>
    <row r="456" spans="1:18" x14ac:dyDescent="0.3">
      <c r="A456" s="14">
        <v>6718</v>
      </c>
      <c r="B456" s="8" t="s">
        <v>96</v>
      </c>
      <c r="C456" s="15">
        <v>20264748</v>
      </c>
      <c r="D456" s="16">
        <v>8698902647489</v>
      </c>
      <c r="E456" s="14" t="s">
        <v>1244</v>
      </c>
      <c r="F456" s="17" t="s">
        <v>1245</v>
      </c>
      <c r="G456" s="18">
        <v>2</v>
      </c>
      <c r="H456" s="19">
        <v>0</v>
      </c>
      <c r="I456" s="18">
        <v>0</v>
      </c>
      <c r="J456" s="8" t="s">
        <v>100</v>
      </c>
      <c r="K456" s="14">
        <v>4699</v>
      </c>
      <c r="L456" s="14" t="s">
        <v>1080</v>
      </c>
      <c r="M456" s="20" t="s">
        <v>237</v>
      </c>
      <c r="N456" s="14" t="s">
        <v>103</v>
      </c>
      <c r="O456" s="12">
        <f t="shared" si="21"/>
        <v>10</v>
      </c>
      <c r="P456" t="str">
        <f t="shared" si="23"/>
        <v>20264748</v>
      </c>
      <c r="Q456">
        <f t="shared" si="22"/>
        <v>2</v>
      </c>
      <c r="R456" s="21"/>
    </row>
    <row r="457" spans="1:18" x14ac:dyDescent="0.3">
      <c r="A457" s="14">
        <v>6710</v>
      </c>
      <c r="B457" s="8" t="s">
        <v>96</v>
      </c>
      <c r="C457" s="15">
        <v>20264747</v>
      </c>
      <c r="D457" s="16">
        <v>8698902647472</v>
      </c>
      <c r="E457" s="14" t="s">
        <v>1246</v>
      </c>
      <c r="F457" s="17" t="s">
        <v>1247</v>
      </c>
      <c r="G457" s="18">
        <v>2</v>
      </c>
      <c r="H457" s="19">
        <v>0</v>
      </c>
      <c r="I457" s="18">
        <v>1</v>
      </c>
      <c r="J457" s="8" t="s">
        <v>100</v>
      </c>
      <c r="K457" s="14">
        <v>4699</v>
      </c>
      <c r="L457" s="14" t="s">
        <v>1080</v>
      </c>
      <c r="M457" s="20" t="s">
        <v>237</v>
      </c>
      <c r="N457" s="14" t="s">
        <v>103</v>
      </c>
      <c r="O457" s="12">
        <f t="shared" si="21"/>
        <v>10</v>
      </c>
      <c r="P457" t="str">
        <f t="shared" si="23"/>
        <v>20264747</v>
      </c>
      <c r="Q457">
        <f t="shared" si="22"/>
        <v>2</v>
      </c>
      <c r="R457" s="21"/>
    </row>
    <row r="458" spans="1:18" x14ac:dyDescent="0.3">
      <c r="A458" s="14">
        <v>7066</v>
      </c>
      <c r="B458" s="8" t="s">
        <v>96</v>
      </c>
      <c r="C458" s="15">
        <v>20263583</v>
      </c>
      <c r="D458" s="16">
        <v>8698902635837</v>
      </c>
      <c r="E458" s="14" t="s">
        <v>1248</v>
      </c>
      <c r="F458" s="17" t="s">
        <v>1249</v>
      </c>
      <c r="G458" s="18">
        <v>8</v>
      </c>
      <c r="H458" s="19">
        <v>6</v>
      </c>
      <c r="I458" s="18">
        <v>0</v>
      </c>
      <c r="J458" s="8" t="s">
        <v>100</v>
      </c>
      <c r="K458" s="14">
        <v>14349</v>
      </c>
      <c r="L458" s="14" t="s">
        <v>1250</v>
      </c>
      <c r="M458" s="20" t="s">
        <v>237</v>
      </c>
      <c r="N458" s="14" t="s">
        <v>130</v>
      </c>
      <c r="O458" s="12">
        <f t="shared" si="21"/>
        <v>10</v>
      </c>
      <c r="P458" t="str">
        <f t="shared" si="23"/>
        <v>20263583</v>
      </c>
      <c r="Q458">
        <f t="shared" si="22"/>
        <v>2</v>
      </c>
      <c r="R458" s="21"/>
    </row>
    <row r="459" spans="1:18" x14ac:dyDescent="0.3">
      <c r="A459" s="14">
        <v>5036</v>
      </c>
      <c r="B459" s="8" t="s">
        <v>96</v>
      </c>
      <c r="C459" s="15">
        <v>20291213</v>
      </c>
      <c r="E459" s="14" t="s">
        <v>1251</v>
      </c>
      <c r="F459" s="17" t="s">
        <v>1252</v>
      </c>
      <c r="G459" s="18">
        <v>5</v>
      </c>
      <c r="H459" s="19">
        <v>5</v>
      </c>
      <c r="I459" s="18">
        <v>0</v>
      </c>
      <c r="J459" s="8" t="s">
        <v>100</v>
      </c>
      <c r="K459" s="14">
        <v>999</v>
      </c>
      <c r="L459" s="14" t="s">
        <v>1250</v>
      </c>
      <c r="M459" s="20" t="s">
        <v>237</v>
      </c>
      <c r="N459" s="14" t="s">
        <v>234</v>
      </c>
      <c r="O459" s="12">
        <f t="shared" si="21"/>
        <v>10</v>
      </c>
      <c r="P459" t="str">
        <f t="shared" si="23"/>
        <v>20291213</v>
      </c>
      <c r="Q459">
        <f t="shared" si="22"/>
        <v>0</v>
      </c>
      <c r="R459" s="21"/>
    </row>
    <row r="460" spans="1:18" x14ac:dyDescent="0.3">
      <c r="A460" s="14">
        <v>7067</v>
      </c>
      <c r="B460" s="8" t="s">
        <v>96</v>
      </c>
      <c r="C460" s="15">
        <v>20291392</v>
      </c>
      <c r="D460" s="16">
        <v>8698902913928</v>
      </c>
      <c r="E460" s="14" t="s">
        <v>1253</v>
      </c>
      <c r="F460" s="17" t="s">
        <v>1254</v>
      </c>
      <c r="G460" s="18">
        <v>8</v>
      </c>
      <c r="H460" s="19">
        <v>6</v>
      </c>
      <c r="I460" s="18">
        <v>0</v>
      </c>
      <c r="J460" s="8" t="s">
        <v>100</v>
      </c>
      <c r="K460" s="14">
        <v>999</v>
      </c>
      <c r="L460" s="14" t="s">
        <v>1250</v>
      </c>
      <c r="M460" s="20" t="s">
        <v>237</v>
      </c>
      <c r="N460" s="14" t="s">
        <v>234</v>
      </c>
      <c r="O460" s="12">
        <f t="shared" si="21"/>
        <v>10</v>
      </c>
      <c r="P460" t="str">
        <f t="shared" si="23"/>
        <v>20291392</v>
      </c>
      <c r="Q460">
        <f t="shared" si="22"/>
        <v>2</v>
      </c>
      <c r="R460" s="21"/>
    </row>
    <row r="461" spans="1:18" x14ac:dyDescent="0.3">
      <c r="A461" s="14">
        <v>1550</v>
      </c>
      <c r="B461" s="8" t="s">
        <v>96</v>
      </c>
      <c r="C461" s="15">
        <v>20290428</v>
      </c>
      <c r="D461" s="16">
        <v>8698902904285</v>
      </c>
      <c r="E461" s="14" t="s">
        <v>1255</v>
      </c>
      <c r="F461" s="17" t="s">
        <v>1256</v>
      </c>
      <c r="G461" s="18">
        <v>1</v>
      </c>
      <c r="H461" s="19">
        <v>0</v>
      </c>
      <c r="I461" s="18">
        <v>0</v>
      </c>
      <c r="J461" s="8" t="s">
        <v>100</v>
      </c>
      <c r="K461" s="14">
        <v>999</v>
      </c>
      <c r="L461" s="14" t="s">
        <v>1250</v>
      </c>
      <c r="M461" s="20" t="s">
        <v>237</v>
      </c>
      <c r="N461" s="14" t="s">
        <v>234</v>
      </c>
      <c r="O461" s="12">
        <f t="shared" si="21"/>
        <v>10</v>
      </c>
      <c r="P461" t="str">
        <f t="shared" si="23"/>
        <v>20290428</v>
      </c>
      <c r="Q461">
        <f t="shared" si="22"/>
        <v>1</v>
      </c>
      <c r="R461" s="21"/>
    </row>
    <row r="462" spans="1:18" x14ac:dyDescent="0.3">
      <c r="A462" s="14">
        <v>7227</v>
      </c>
      <c r="B462" s="8" t="s">
        <v>96</v>
      </c>
      <c r="C462" s="15">
        <v>20265100</v>
      </c>
      <c r="D462" s="16">
        <v>8698902651004</v>
      </c>
      <c r="E462" s="14" t="s">
        <v>1257</v>
      </c>
      <c r="F462" s="17" t="s">
        <v>1258</v>
      </c>
      <c r="G462" s="18">
        <v>5</v>
      </c>
      <c r="H462" s="19">
        <v>5</v>
      </c>
      <c r="I462" s="18">
        <v>0</v>
      </c>
      <c r="J462" s="8" t="s">
        <v>100</v>
      </c>
      <c r="K462" s="14">
        <v>12649</v>
      </c>
      <c r="L462" s="14" t="s">
        <v>1250</v>
      </c>
      <c r="M462" s="20" t="s">
        <v>237</v>
      </c>
      <c r="N462" s="14" t="s">
        <v>130</v>
      </c>
      <c r="O462" s="12">
        <f t="shared" si="21"/>
        <v>10</v>
      </c>
      <c r="P462" t="str">
        <f t="shared" si="23"/>
        <v>20265100</v>
      </c>
      <c r="Q462">
        <f t="shared" si="22"/>
        <v>0</v>
      </c>
      <c r="R462" s="21"/>
    </row>
    <row r="463" spans="1:18" x14ac:dyDescent="0.3">
      <c r="A463" s="14">
        <v>7354</v>
      </c>
      <c r="B463" s="8" t="s">
        <v>96</v>
      </c>
      <c r="C463" s="15">
        <v>20263584</v>
      </c>
      <c r="D463" s="16">
        <v>8698902635844</v>
      </c>
      <c r="E463" s="14" t="s">
        <v>1259</v>
      </c>
      <c r="F463" s="17" t="s">
        <v>1260</v>
      </c>
      <c r="G463" s="18">
        <v>2</v>
      </c>
      <c r="H463" s="19">
        <v>2</v>
      </c>
      <c r="I463" s="18">
        <v>0</v>
      </c>
      <c r="J463" s="8" t="s">
        <v>100</v>
      </c>
      <c r="K463" s="14">
        <v>13499</v>
      </c>
      <c r="L463" s="14" t="s">
        <v>1250</v>
      </c>
      <c r="M463" s="20" t="s">
        <v>237</v>
      </c>
      <c r="N463" s="14" t="s">
        <v>130</v>
      </c>
      <c r="O463" s="12">
        <f t="shared" si="21"/>
        <v>10</v>
      </c>
      <c r="P463" t="str">
        <f t="shared" si="23"/>
        <v>20263584</v>
      </c>
      <c r="Q463">
        <f t="shared" si="22"/>
        <v>0</v>
      </c>
      <c r="R463" s="21"/>
    </row>
    <row r="464" spans="1:18" x14ac:dyDescent="0.3">
      <c r="A464" s="14">
        <v>4884</v>
      </c>
      <c r="B464" s="8" t="s">
        <v>96</v>
      </c>
      <c r="C464" s="15" t="s">
        <v>1261</v>
      </c>
      <c r="D464" s="16">
        <v>2253580110593</v>
      </c>
      <c r="E464" s="14" t="s">
        <v>1262</v>
      </c>
      <c r="F464" s="17" t="s">
        <v>1263</v>
      </c>
      <c r="G464" s="18">
        <v>1</v>
      </c>
      <c r="H464" s="19">
        <v>0</v>
      </c>
      <c r="I464" s="18">
        <v>0</v>
      </c>
      <c r="J464" s="8" t="s">
        <v>100</v>
      </c>
      <c r="K464" s="14">
        <v>999</v>
      </c>
      <c r="L464" s="14" t="s">
        <v>233</v>
      </c>
      <c r="M464" s="20" t="s">
        <v>1264</v>
      </c>
      <c r="N464" s="14" t="s">
        <v>234</v>
      </c>
      <c r="O464" s="12">
        <f t="shared" si="21"/>
        <v>10</v>
      </c>
      <c r="P464" t="str">
        <f t="shared" si="23"/>
        <v>NOTVEX32</v>
      </c>
      <c r="Q464">
        <f t="shared" si="22"/>
        <v>1</v>
      </c>
      <c r="R464" s="21"/>
    </row>
    <row r="465" spans="1:18" x14ac:dyDescent="0.3">
      <c r="A465" s="14">
        <v>4886</v>
      </c>
      <c r="B465" s="8" t="s">
        <v>96</v>
      </c>
      <c r="C465" s="15" t="s">
        <v>1265</v>
      </c>
      <c r="D465" s="16">
        <v>2253580110326</v>
      </c>
      <c r="E465" s="14" t="s">
        <v>1266</v>
      </c>
      <c r="F465" s="17" t="s">
        <v>1267</v>
      </c>
      <c r="G465" s="18">
        <v>5</v>
      </c>
      <c r="H465" s="19">
        <v>0</v>
      </c>
      <c r="I465" s="18">
        <v>0</v>
      </c>
      <c r="J465" s="8" t="s">
        <v>100</v>
      </c>
      <c r="K465" s="14">
        <v>1399</v>
      </c>
      <c r="L465" s="14" t="s">
        <v>233</v>
      </c>
      <c r="M465" s="20" t="s">
        <v>1264</v>
      </c>
      <c r="N465" s="14" t="s">
        <v>234</v>
      </c>
      <c r="O465" s="12">
        <f t="shared" si="21"/>
        <v>10</v>
      </c>
      <c r="P465" t="str">
        <f t="shared" si="23"/>
        <v>NOTVEX43</v>
      </c>
      <c r="Q465">
        <f t="shared" si="22"/>
        <v>5</v>
      </c>
      <c r="R465" s="21"/>
    </row>
    <row r="466" spans="1:18" x14ac:dyDescent="0.3">
      <c r="A466" s="14">
        <v>4888</v>
      </c>
      <c r="B466" s="8" t="s">
        <v>96</v>
      </c>
      <c r="C466" s="15" t="s">
        <v>1268</v>
      </c>
      <c r="D466" s="16">
        <v>2253580110210</v>
      </c>
      <c r="E466" s="14" t="s">
        <v>1269</v>
      </c>
      <c r="F466" s="17" t="s">
        <v>1270</v>
      </c>
      <c r="G466" s="18">
        <v>30</v>
      </c>
      <c r="H466" s="19">
        <v>0</v>
      </c>
      <c r="I466" s="18">
        <v>1</v>
      </c>
      <c r="J466" s="8" t="s">
        <v>100</v>
      </c>
      <c r="K466" s="14">
        <v>1699</v>
      </c>
      <c r="L466" s="14" t="s">
        <v>233</v>
      </c>
      <c r="M466" s="20" t="s">
        <v>1264</v>
      </c>
      <c r="N466" s="14" t="s">
        <v>234</v>
      </c>
      <c r="O466" s="12">
        <f t="shared" si="21"/>
        <v>10</v>
      </c>
      <c r="P466" t="str">
        <f t="shared" si="23"/>
        <v>NOTVEX50</v>
      </c>
      <c r="Q466">
        <f t="shared" si="22"/>
        <v>30</v>
      </c>
      <c r="R466" s="21"/>
    </row>
    <row r="467" spans="1:18" x14ac:dyDescent="0.3">
      <c r="A467" s="14">
        <v>4914</v>
      </c>
      <c r="B467" s="8" t="s">
        <v>96</v>
      </c>
      <c r="C467" s="15" t="s">
        <v>1271</v>
      </c>
      <c r="D467" s="16">
        <v>2253580210088</v>
      </c>
      <c r="E467" s="14" t="s">
        <v>1272</v>
      </c>
      <c r="F467" s="17" t="s">
        <v>1273</v>
      </c>
      <c r="G467" s="18">
        <v>37</v>
      </c>
      <c r="H467" s="19">
        <v>0</v>
      </c>
      <c r="I467" s="18">
        <v>3</v>
      </c>
      <c r="J467" s="8" t="s">
        <v>100</v>
      </c>
      <c r="K467" s="14">
        <v>2099</v>
      </c>
      <c r="L467" s="14" t="s">
        <v>233</v>
      </c>
      <c r="M467" s="20" t="s">
        <v>1264</v>
      </c>
      <c r="N467" s="14" t="s">
        <v>234</v>
      </c>
      <c r="O467" s="12">
        <f t="shared" si="21"/>
        <v>10</v>
      </c>
      <c r="P467" t="str">
        <f t="shared" si="23"/>
        <v>NOTVEX55</v>
      </c>
      <c r="Q467">
        <f t="shared" si="22"/>
        <v>37</v>
      </c>
      <c r="R467" s="21"/>
    </row>
    <row r="468" spans="1:18" x14ac:dyDescent="0.3">
      <c r="A468" s="14">
        <v>4889</v>
      </c>
      <c r="B468" s="8" t="s">
        <v>96</v>
      </c>
      <c r="C468" s="15" t="s">
        <v>1274</v>
      </c>
      <c r="D468" s="16">
        <v>2253580110067</v>
      </c>
      <c r="E468" s="14" t="s">
        <v>1275</v>
      </c>
      <c r="F468" s="17" t="s">
        <v>1276</v>
      </c>
      <c r="G468" s="18">
        <v>17</v>
      </c>
      <c r="H468" s="19">
        <v>0</v>
      </c>
      <c r="I468" s="18">
        <v>1</v>
      </c>
      <c r="J468" s="8" t="s">
        <v>100</v>
      </c>
      <c r="K468" s="14">
        <v>3099</v>
      </c>
      <c r="L468" s="14" t="s">
        <v>233</v>
      </c>
      <c r="M468" s="20" t="s">
        <v>1264</v>
      </c>
      <c r="N468" s="14" t="s">
        <v>234</v>
      </c>
      <c r="O468" s="12">
        <f t="shared" si="21"/>
        <v>10</v>
      </c>
      <c r="P468" t="str">
        <f t="shared" si="23"/>
        <v>NOTVEX65</v>
      </c>
      <c r="Q468">
        <f t="shared" si="22"/>
        <v>17</v>
      </c>
      <c r="R468" s="21"/>
    </row>
    <row r="469" spans="1:18" x14ac:dyDescent="0.3">
      <c r="A469" s="14">
        <v>6021</v>
      </c>
      <c r="B469" s="8" t="s">
        <v>96</v>
      </c>
      <c r="C469" s="15" t="s">
        <v>1277</v>
      </c>
      <c r="E469" s="14" t="s">
        <v>1278</v>
      </c>
      <c r="F469" s="17" t="s">
        <v>1279</v>
      </c>
      <c r="G469" s="18">
        <v>10</v>
      </c>
      <c r="H469" s="19">
        <v>0</v>
      </c>
      <c r="I469" s="18">
        <v>0</v>
      </c>
      <c r="J469" s="8" t="s">
        <v>100</v>
      </c>
      <c r="K469" s="14">
        <v>4099</v>
      </c>
      <c r="L469" s="14" t="s">
        <v>233</v>
      </c>
      <c r="M469" s="20" t="s">
        <v>1264</v>
      </c>
      <c r="N469" s="14" t="s">
        <v>234</v>
      </c>
      <c r="O469" s="12">
        <f t="shared" si="21"/>
        <v>10</v>
      </c>
      <c r="P469" t="str">
        <f t="shared" si="23"/>
        <v>NOTVEX75</v>
      </c>
      <c r="Q469">
        <f t="shared" si="22"/>
        <v>10</v>
      </c>
      <c r="R469" s="21"/>
    </row>
    <row r="470" spans="1:18" x14ac:dyDescent="0.3">
      <c r="A470" s="14">
        <v>7096</v>
      </c>
      <c r="B470" s="8" t="s">
        <v>96</v>
      </c>
      <c r="C470" s="15" t="s">
        <v>1280</v>
      </c>
      <c r="E470" s="14" t="s">
        <v>1281</v>
      </c>
      <c r="F470" s="17" t="s">
        <v>1282</v>
      </c>
      <c r="G470" s="18">
        <v>3</v>
      </c>
      <c r="H470" s="19">
        <v>0</v>
      </c>
      <c r="I470" s="18">
        <v>0</v>
      </c>
      <c r="J470" s="8" t="s">
        <v>100</v>
      </c>
      <c r="K470" s="14">
        <v>5599</v>
      </c>
      <c r="L470" s="14" t="s">
        <v>233</v>
      </c>
      <c r="M470" s="20" t="s">
        <v>1264</v>
      </c>
      <c r="N470" s="14" t="s">
        <v>234</v>
      </c>
      <c r="O470" s="12">
        <f t="shared" si="21"/>
        <v>10</v>
      </c>
      <c r="P470" t="str">
        <f t="shared" si="23"/>
        <v>NOTVEX85</v>
      </c>
      <c r="Q470">
        <f t="shared" si="22"/>
        <v>3</v>
      </c>
      <c r="R470" s="21"/>
    </row>
    <row r="471" spans="1:18" x14ac:dyDescent="0.3">
      <c r="A471" s="14">
        <v>7310</v>
      </c>
      <c r="B471" s="8" t="s">
        <v>96</v>
      </c>
      <c r="C471" s="15" t="s">
        <v>1283</v>
      </c>
      <c r="D471" s="16">
        <v>8806097100621</v>
      </c>
      <c r="E471" s="14" t="s">
        <v>1284</v>
      </c>
      <c r="F471" s="17" t="s">
        <v>1285</v>
      </c>
      <c r="G471" s="18">
        <v>6</v>
      </c>
      <c r="I471" s="18">
        <v>0</v>
      </c>
      <c r="J471" s="8" t="s">
        <v>100</v>
      </c>
      <c r="K471" s="14">
        <v>19999</v>
      </c>
      <c r="L471" s="14" t="s">
        <v>1286</v>
      </c>
      <c r="M471" s="20" t="s">
        <v>114</v>
      </c>
      <c r="N471" s="14" t="s">
        <v>649</v>
      </c>
      <c r="O471" s="12">
        <f t="shared" si="21"/>
        <v>10</v>
      </c>
      <c r="P471" t="str">
        <f t="shared" si="23"/>
        <v>SM-A266✦C</v>
      </c>
      <c r="Q471">
        <f t="shared" si="22"/>
        <v>6</v>
      </c>
      <c r="R471" s="21"/>
    </row>
    <row r="472" spans="1:18" x14ac:dyDescent="0.3">
      <c r="A472" s="14">
        <v>7318</v>
      </c>
      <c r="B472" s="8" t="s">
        <v>96</v>
      </c>
      <c r="C472" s="15" t="s">
        <v>1287</v>
      </c>
      <c r="D472" s="16">
        <v>8806097100652</v>
      </c>
      <c r="E472" s="14" t="s">
        <v>1288</v>
      </c>
      <c r="F472" s="17" t="s">
        <v>1289</v>
      </c>
      <c r="G472" s="18">
        <v>2</v>
      </c>
      <c r="I472" s="18">
        <v>0</v>
      </c>
      <c r="J472" s="8" t="s">
        <v>100</v>
      </c>
      <c r="K472" s="14">
        <v>19999</v>
      </c>
      <c r="L472" s="14" t="s">
        <v>1286</v>
      </c>
      <c r="M472" s="20" t="s">
        <v>114</v>
      </c>
      <c r="N472" s="14" t="s">
        <v>649</v>
      </c>
      <c r="O472" s="12">
        <f t="shared" si="21"/>
        <v>10</v>
      </c>
      <c r="P472" t="str">
        <f t="shared" si="23"/>
        <v>SM-A266✦C</v>
      </c>
      <c r="Q472">
        <f t="shared" si="22"/>
        <v>2</v>
      </c>
      <c r="R472" s="21"/>
    </row>
    <row r="473" spans="1:18" x14ac:dyDescent="0.3">
      <c r="A473" s="14">
        <v>7136</v>
      </c>
      <c r="B473" s="8" t="s">
        <v>96</v>
      </c>
      <c r="C473" s="15" t="s">
        <v>1290</v>
      </c>
      <c r="D473" s="16">
        <v>8806095751450</v>
      </c>
      <c r="E473" s="14" t="s">
        <v>1291</v>
      </c>
      <c r="F473" s="17" t="s">
        <v>1292</v>
      </c>
      <c r="G473" s="18">
        <v>2</v>
      </c>
      <c r="I473" s="18">
        <v>0</v>
      </c>
      <c r="J473" s="8" t="s">
        <v>100</v>
      </c>
      <c r="K473" s="14">
        <v>9399</v>
      </c>
      <c r="L473" s="14" t="s">
        <v>1286</v>
      </c>
      <c r="M473" s="20" t="s">
        <v>114</v>
      </c>
      <c r="N473" s="14" t="s">
        <v>649</v>
      </c>
      <c r="O473" s="12">
        <f t="shared" si="21"/>
        <v>10</v>
      </c>
      <c r="P473" t="str">
        <f t="shared" si="23"/>
        <v>SM-A065✦G</v>
      </c>
      <c r="Q473">
        <f t="shared" si="22"/>
        <v>2</v>
      </c>
      <c r="R473" s="21"/>
    </row>
    <row r="474" spans="1:18" x14ac:dyDescent="0.3">
      <c r="A474" s="14">
        <v>7221</v>
      </c>
      <c r="B474" s="8" t="s">
        <v>96</v>
      </c>
      <c r="C474" s="15" t="s">
        <v>1293</v>
      </c>
      <c r="D474" s="16">
        <v>8806095822808</v>
      </c>
      <c r="E474" s="14" t="s">
        <v>1294</v>
      </c>
      <c r="F474" s="17" t="s">
        <v>1295</v>
      </c>
      <c r="G474" s="18">
        <v>2</v>
      </c>
      <c r="I474" s="18">
        <v>0</v>
      </c>
      <c r="J474" s="8" t="s">
        <v>100</v>
      </c>
      <c r="K474" s="14">
        <v>13399</v>
      </c>
      <c r="L474" s="14" t="s">
        <v>1286</v>
      </c>
      <c r="M474" s="20" t="s">
        <v>114</v>
      </c>
      <c r="N474" s="14" t="s">
        <v>649</v>
      </c>
      <c r="O474" s="12">
        <f t="shared" si="21"/>
        <v>10</v>
      </c>
      <c r="P474" t="str">
        <f t="shared" si="23"/>
        <v>SM-A165✦B</v>
      </c>
      <c r="Q474">
        <f t="shared" si="22"/>
        <v>2</v>
      </c>
      <c r="R474" s="21"/>
    </row>
    <row r="475" spans="1:18" x14ac:dyDescent="0.3">
      <c r="A475" s="14">
        <v>7509</v>
      </c>
      <c r="B475" s="8" t="s">
        <v>96</v>
      </c>
      <c r="C475" s="15" t="s">
        <v>1296</v>
      </c>
      <c r="D475" s="16">
        <v>8806097660880</v>
      </c>
      <c r="E475" s="14" t="s">
        <v>1297</v>
      </c>
      <c r="F475" s="17" t="s">
        <v>1298</v>
      </c>
      <c r="G475" s="18">
        <v>1</v>
      </c>
      <c r="I475" s="18">
        <v>0</v>
      </c>
      <c r="J475" s="8" t="s">
        <v>100</v>
      </c>
      <c r="K475" s="14">
        <v>14999</v>
      </c>
      <c r="L475" s="14" t="s">
        <v>1286</v>
      </c>
      <c r="M475" s="20" t="s">
        <v>114</v>
      </c>
      <c r="N475" s="14" t="s">
        <v>649</v>
      </c>
      <c r="O475" s="12">
        <f t="shared" si="21"/>
        <v>10</v>
      </c>
      <c r="P475" t="str">
        <f t="shared" si="23"/>
        <v>SM-A176✦B</v>
      </c>
      <c r="Q475">
        <f t="shared" si="22"/>
        <v>1</v>
      </c>
      <c r="R475" s="21"/>
    </row>
    <row r="476" spans="1:18" x14ac:dyDescent="0.3">
      <c r="A476" s="14">
        <v>7500</v>
      </c>
      <c r="B476" s="8" t="s">
        <v>96</v>
      </c>
      <c r="C476" s="15" t="s">
        <v>1299</v>
      </c>
      <c r="D476" s="16">
        <v>8806097660842</v>
      </c>
      <c r="E476" s="14" t="s">
        <v>1300</v>
      </c>
      <c r="F476" s="17" t="s">
        <v>1301</v>
      </c>
      <c r="G476" s="18">
        <v>7</v>
      </c>
      <c r="I476" s="18">
        <v>0</v>
      </c>
      <c r="J476" s="8" t="s">
        <v>100</v>
      </c>
      <c r="K476" s="14">
        <v>14999</v>
      </c>
      <c r="L476" s="14" t="s">
        <v>1286</v>
      </c>
      <c r="M476" s="20" t="s">
        <v>114</v>
      </c>
      <c r="N476" s="14" t="s">
        <v>649</v>
      </c>
      <c r="O476" s="12">
        <f t="shared" si="21"/>
        <v>10</v>
      </c>
      <c r="P476" t="str">
        <f t="shared" si="23"/>
        <v>SM-A176✦D</v>
      </c>
      <c r="Q476">
        <f t="shared" si="22"/>
        <v>7</v>
      </c>
      <c r="R476" s="21"/>
    </row>
    <row r="477" spans="1:18" x14ac:dyDescent="0.3">
      <c r="A477" s="14">
        <v>7499</v>
      </c>
      <c r="B477" s="8" t="s">
        <v>96</v>
      </c>
      <c r="C477" s="15" t="s">
        <v>1302</v>
      </c>
      <c r="D477" s="16">
        <v>8806097660866</v>
      </c>
      <c r="E477" s="14" t="s">
        <v>1303</v>
      </c>
      <c r="F477" s="17" t="s">
        <v>1304</v>
      </c>
      <c r="G477" s="18">
        <v>2</v>
      </c>
      <c r="I477" s="18">
        <v>0</v>
      </c>
      <c r="J477" s="8" t="s">
        <v>100</v>
      </c>
      <c r="K477" s="14">
        <v>14999</v>
      </c>
      <c r="L477" s="14" t="s">
        <v>1286</v>
      </c>
      <c r="M477" s="20" t="s">
        <v>114</v>
      </c>
      <c r="N477" s="14" t="s">
        <v>649</v>
      </c>
      <c r="O477" s="12">
        <f t="shared" si="21"/>
        <v>10</v>
      </c>
      <c r="P477" t="str">
        <f t="shared" si="23"/>
        <v>SM-A176✦D</v>
      </c>
      <c r="Q477">
        <f t="shared" si="22"/>
        <v>2</v>
      </c>
      <c r="R477" s="21"/>
    </row>
    <row r="478" spans="1:18" x14ac:dyDescent="0.3">
      <c r="A478" s="14">
        <v>7306</v>
      </c>
      <c r="B478" s="8" t="s">
        <v>96</v>
      </c>
      <c r="C478" s="15" t="s">
        <v>1305</v>
      </c>
      <c r="D478" s="16">
        <v>8806097044338</v>
      </c>
      <c r="E478" s="14" t="s">
        <v>1306</v>
      </c>
      <c r="F478" s="17" t="s">
        <v>1307</v>
      </c>
      <c r="G478" s="18">
        <v>4</v>
      </c>
      <c r="H478" s="19">
        <v>0</v>
      </c>
      <c r="I478" s="18">
        <v>0</v>
      </c>
      <c r="J478" s="8" t="s">
        <v>100</v>
      </c>
      <c r="K478" s="14">
        <v>24999</v>
      </c>
      <c r="L478" s="14" t="s">
        <v>1286</v>
      </c>
      <c r="M478" s="20" t="s">
        <v>114</v>
      </c>
      <c r="N478" s="14" t="s">
        <v>649</v>
      </c>
      <c r="O478" s="12">
        <f t="shared" si="21"/>
        <v>10</v>
      </c>
      <c r="P478" t="str">
        <f t="shared" si="23"/>
        <v>SM-A366✦G</v>
      </c>
      <c r="Q478">
        <f t="shared" si="22"/>
        <v>4</v>
      </c>
      <c r="R478" s="21"/>
    </row>
    <row r="479" spans="1:18" x14ac:dyDescent="0.3">
      <c r="A479" s="14">
        <v>7307</v>
      </c>
      <c r="B479" s="8" t="s">
        <v>96</v>
      </c>
      <c r="C479" s="15" t="s">
        <v>1308</v>
      </c>
      <c r="D479" s="16">
        <v>8806097044420</v>
      </c>
      <c r="E479" s="14" t="s">
        <v>1309</v>
      </c>
      <c r="F479" s="17" t="s">
        <v>1310</v>
      </c>
      <c r="G479" s="18">
        <v>8</v>
      </c>
      <c r="I479" s="18">
        <v>0</v>
      </c>
      <c r="J479" s="8" t="s">
        <v>100</v>
      </c>
      <c r="K479" s="14">
        <v>24999</v>
      </c>
      <c r="L479" s="14" t="s">
        <v>1286</v>
      </c>
      <c r="M479" s="20" t="s">
        <v>114</v>
      </c>
      <c r="N479" s="14" t="s">
        <v>649</v>
      </c>
      <c r="O479" s="12">
        <f t="shared" si="21"/>
        <v>10</v>
      </c>
      <c r="P479" t="str">
        <f t="shared" si="23"/>
        <v>SM-A366✦G</v>
      </c>
      <c r="Q479">
        <f t="shared" si="22"/>
        <v>8</v>
      </c>
      <c r="R479" s="21"/>
    </row>
    <row r="480" spans="1:18" x14ac:dyDescent="0.3">
      <c r="A480" s="14">
        <v>7303</v>
      </c>
      <c r="B480" s="8" t="s">
        <v>96</v>
      </c>
      <c r="C480" s="15" t="s">
        <v>1311</v>
      </c>
      <c r="D480" s="16">
        <v>8806097044253</v>
      </c>
      <c r="E480" s="14" t="s">
        <v>1312</v>
      </c>
      <c r="F480" s="17" t="s">
        <v>1313</v>
      </c>
      <c r="G480" s="18">
        <v>2</v>
      </c>
      <c r="I480" s="18">
        <v>0</v>
      </c>
      <c r="J480" s="8" t="s">
        <v>100</v>
      </c>
      <c r="K480" s="14">
        <v>24999</v>
      </c>
      <c r="L480" s="14" t="s">
        <v>1286</v>
      </c>
      <c r="M480" s="20" t="s">
        <v>114</v>
      </c>
      <c r="N480" s="14" t="s">
        <v>649</v>
      </c>
      <c r="O480" s="12">
        <f t="shared" si="21"/>
        <v>10</v>
      </c>
      <c r="P480" t="str">
        <f t="shared" si="23"/>
        <v>SM-A366✦G</v>
      </c>
      <c r="Q480">
        <f t="shared" si="22"/>
        <v>2</v>
      </c>
      <c r="R480" s="21"/>
    </row>
    <row r="481" spans="1:18" x14ac:dyDescent="0.3">
      <c r="A481" s="14">
        <v>7304</v>
      </c>
      <c r="B481" s="8" t="s">
        <v>96</v>
      </c>
      <c r="C481" s="15" t="s">
        <v>1314</v>
      </c>
      <c r="D481" s="16">
        <v>8806097044383</v>
      </c>
      <c r="E481" s="14" t="s">
        <v>1315</v>
      </c>
      <c r="F481" s="17" t="s">
        <v>1316</v>
      </c>
      <c r="G481" s="18">
        <v>1</v>
      </c>
      <c r="I481" s="18">
        <v>0</v>
      </c>
      <c r="J481" s="8" t="s">
        <v>100</v>
      </c>
      <c r="K481" s="14">
        <v>22999</v>
      </c>
      <c r="L481" s="14" t="s">
        <v>1286</v>
      </c>
      <c r="M481" s="20" t="s">
        <v>114</v>
      </c>
      <c r="N481" s="14" t="s">
        <v>649</v>
      </c>
      <c r="O481" s="12">
        <f t="shared" si="21"/>
        <v>10</v>
      </c>
      <c r="P481" t="str">
        <f t="shared" si="23"/>
        <v>SM-A366✦G</v>
      </c>
      <c r="Q481">
        <f t="shared" si="22"/>
        <v>1</v>
      </c>
      <c r="R481" s="21"/>
    </row>
    <row r="482" spans="1:18" x14ac:dyDescent="0.3">
      <c r="A482" s="14">
        <v>7299</v>
      </c>
      <c r="B482" s="8" t="s">
        <v>96</v>
      </c>
      <c r="C482" s="15" t="s">
        <v>1317</v>
      </c>
      <c r="D482" s="16">
        <v>8806097054542</v>
      </c>
      <c r="E482" s="14" t="s">
        <v>1318</v>
      </c>
      <c r="F482" s="17" t="s">
        <v>1319</v>
      </c>
      <c r="G482" s="18">
        <v>4</v>
      </c>
      <c r="I482" s="18">
        <v>0</v>
      </c>
      <c r="J482" s="8" t="s">
        <v>100</v>
      </c>
      <c r="K482" s="14">
        <v>29999</v>
      </c>
      <c r="L482" s="14" t="s">
        <v>1286</v>
      </c>
      <c r="M482" s="20" t="s">
        <v>114</v>
      </c>
      <c r="N482" s="14" t="s">
        <v>649</v>
      </c>
      <c r="O482" s="12">
        <f t="shared" si="21"/>
        <v>10</v>
      </c>
      <c r="P482" t="str">
        <f t="shared" si="23"/>
        <v>SM-A566✦C</v>
      </c>
      <c r="Q482">
        <f t="shared" si="22"/>
        <v>4</v>
      </c>
      <c r="R482" s="21"/>
    </row>
    <row r="483" spans="1:18" x14ac:dyDescent="0.3">
      <c r="A483" s="14">
        <v>7308</v>
      </c>
      <c r="B483" s="8" t="s">
        <v>96</v>
      </c>
      <c r="C483" s="15" t="s">
        <v>1320</v>
      </c>
      <c r="D483" s="16">
        <v>8806097054078</v>
      </c>
      <c r="E483" s="14" t="s">
        <v>1321</v>
      </c>
      <c r="F483" s="17" t="s">
        <v>1322</v>
      </c>
      <c r="G483" s="18">
        <v>2</v>
      </c>
      <c r="H483" s="19">
        <v>0</v>
      </c>
      <c r="I483" s="18">
        <v>0</v>
      </c>
      <c r="J483" s="8" t="s">
        <v>100</v>
      </c>
      <c r="K483" s="14">
        <v>29999</v>
      </c>
      <c r="L483" s="14" t="s">
        <v>1286</v>
      </c>
      <c r="M483" s="20" t="s">
        <v>114</v>
      </c>
      <c r="N483" s="14" t="s">
        <v>649</v>
      </c>
      <c r="O483" s="12">
        <f t="shared" si="21"/>
        <v>10</v>
      </c>
      <c r="P483" t="str">
        <f t="shared" si="23"/>
        <v>SM-A566✦C</v>
      </c>
      <c r="Q483">
        <f t="shared" si="22"/>
        <v>2</v>
      </c>
      <c r="R483" s="21"/>
    </row>
    <row r="484" spans="1:18" x14ac:dyDescent="0.3">
      <c r="A484" s="14">
        <v>7298</v>
      </c>
      <c r="B484" s="8" t="s">
        <v>96</v>
      </c>
      <c r="C484" s="15" t="s">
        <v>1323</v>
      </c>
      <c r="D484" s="16">
        <v>8806097055280</v>
      </c>
      <c r="E484" s="14" t="s">
        <v>1324</v>
      </c>
      <c r="F484" s="17" t="s">
        <v>1325</v>
      </c>
      <c r="G484" s="18">
        <v>3</v>
      </c>
      <c r="I484" s="18">
        <v>0</v>
      </c>
      <c r="J484" s="8" t="s">
        <v>100</v>
      </c>
      <c r="K484" s="14">
        <v>29999</v>
      </c>
      <c r="L484" s="14" t="s">
        <v>1286</v>
      </c>
      <c r="M484" s="20" t="s">
        <v>114</v>
      </c>
      <c r="N484" s="14" t="s">
        <v>649</v>
      </c>
      <c r="O484" s="12">
        <f t="shared" si="21"/>
        <v>10</v>
      </c>
      <c r="P484" t="str">
        <f t="shared" si="23"/>
        <v>SM-A566✦C</v>
      </c>
      <c r="Q484">
        <f t="shared" si="22"/>
        <v>3</v>
      </c>
      <c r="R484" s="21"/>
    </row>
    <row r="485" spans="1:18" x14ac:dyDescent="0.3">
      <c r="A485" s="14">
        <v>7218</v>
      </c>
      <c r="B485" s="8" t="s">
        <v>96</v>
      </c>
      <c r="C485" s="15" t="s">
        <v>1326</v>
      </c>
      <c r="D485" s="16">
        <v>8806095292854</v>
      </c>
      <c r="E485" s="14" t="s">
        <v>1327</v>
      </c>
      <c r="F485" s="17" t="s">
        <v>1328</v>
      </c>
      <c r="G485" s="18">
        <v>1</v>
      </c>
      <c r="I485" s="18">
        <v>0</v>
      </c>
      <c r="J485" s="8" t="s">
        <v>100</v>
      </c>
      <c r="K485" s="14">
        <v>57499</v>
      </c>
      <c r="L485" s="14" t="s">
        <v>1286</v>
      </c>
      <c r="M485" s="20" t="s">
        <v>114</v>
      </c>
      <c r="N485" s="14" t="s">
        <v>649</v>
      </c>
      <c r="O485" s="12">
        <f t="shared" si="21"/>
        <v>10</v>
      </c>
      <c r="P485" t="str">
        <f t="shared" si="23"/>
        <v>SM-S921✦B</v>
      </c>
      <c r="Q485">
        <f t="shared" si="22"/>
        <v>1</v>
      </c>
      <c r="R485" s="21"/>
    </row>
    <row r="486" spans="1:18" x14ac:dyDescent="0.3">
      <c r="A486" s="14">
        <v>7147</v>
      </c>
      <c r="B486" s="8" t="s">
        <v>96</v>
      </c>
      <c r="C486" s="15" t="s">
        <v>1329</v>
      </c>
      <c r="D486" s="16">
        <v>806095750163</v>
      </c>
      <c r="E486" s="14" t="s">
        <v>1330</v>
      </c>
      <c r="F486" s="17" t="s">
        <v>1331</v>
      </c>
      <c r="G486" s="18">
        <v>2</v>
      </c>
      <c r="I486" s="18">
        <v>0</v>
      </c>
      <c r="J486" s="8" t="s">
        <v>100</v>
      </c>
      <c r="K486" s="14">
        <v>36299</v>
      </c>
      <c r="L486" s="14" t="s">
        <v>1286</v>
      </c>
      <c r="M486" s="20" t="s">
        <v>114</v>
      </c>
      <c r="N486" s="14" t="s">
        <v>649</v>
      </c>
      <c r="O486" s="12">
        <f t="shared" si="21"/>
        <v>10</v>
      </c>
      <c r="P486" t="str">
        <f t="shared" si="23"/>
        <v>SM-S721✦D</v>
      </c>
      <c r="Q486">
        <f t="shared" si="22"/>
        <v>2</v>
      </c>
      <c r="R486" s="21"/>
    </row>
    <row r="487" spans="1:18" x14ac:dyDescent="0.3">
      <c r="A487" s="14">
        <v>7149</v>
      </c>
      <c r="B487" s="8" t="s">
        <v>96</v>
      </c>
      <c r="C487" s="15" t="s">
        <v>1332</v>
      </c>
      <c r="D487" s="16">
        <v>8806095750156</v>
      </c>
      <c r="E487" s="14" t="s">
        <v>1333</v>
      </c>
      <c r="F487" s="17" t="s">
        <v>1334</v>
      </c>
      <c r="G487" s="18">
        <v>6</v>
      </c>
      <c r="I487" s="18">
        <v>0</v>
      </c>
      <c r="J487" s="8" t="s">
        <v>100</v>
      </c>
      <c r="K487" s="14">
        <v>39999</v>
      </c>
      <c r="L487" s="14" t="s">
        <v>1286</v>
      </c>
      <c r="M487" s="20" t="s">
        <v>114</v>
      </c>
      <c r="N487" s="14" t="s">
        <v>649</v>
      </c>
      <c r="O487" s="12">
        <f t="shared" si="21"/>
        <v>10</v>
      </c>
      <c r="P487" t="str">
        <f t="shared" si="23"/>
        <v>SM-S721✦G</v>
      </c>
      <c r="Q487">
        <f t="shared" si="22"/>
        <v>6</v>
      </c>
      <c r="R487" s="21"/>
    </row>
    <row r="488" spans="1:18" x14ac:dyDescent="0.3">
      <c r="A488" s="14">
        <v>7266</v>
      </c>
      <c r="B488" s="8" t="s">
        <v>96</v>
      </c>
      <c r="C488" s="15" t="s">
        <v>1335</v>
      </c>
      <c r="D488" s="16">
        <v>8806095847757</v>
      </c>
      <c r="E488" s="14" t="s">
        <v>1336</v>
      </c>
      <c r="F488" s="17" t="s">
        <v>1337</v>
      </c>
      <c r="G488" s="18">
        <v>2</v>
      </c>
      <c r="I488" s="18">
        <v>0</v>
      </c>
      <c r="J488" s="8" t="s">
        <v>100</v>
      </c>
      <c r="K488" s="14">
        <v>63249</v>
      </c>
      <c r="L488" s="14" t="s">
        <v>1286</v>
      </c>
      <c r="M488" s="20" t="s">
        <v>114</v>
      </c>
      <c r="N488" s="14" t="s">
        <v>649</v>
      </c>
      <c r="O488" s="12">
        <f t="shared" si="21"/>
        <v>10</v>
      </c>
      <c r="P488" t="str">
        <f t="shared" si="23"/>
        <v>SM-S931✦D</v>
      </c>
      <c r="Q488">
        <f t="shared" si="22"/>
        <v>2</v>
      </c>
      <c r="R488" s="21"/>
    </row>
    <row r="489" spans="1:18" x14ac:dyDescent="0.3">
      <c r="A489" s="14">
        <v>7268</v>
      </c>
      <c r="B489" s="8" t="s">
        <v>96</v>
      </c>
      <c r="C489" s="15" t="s">
        <v>1338</v>
      </c>
      <c r="D489" s="16">
        <v>8806095847863</v>
      </c>
      <c r="E489" s="14" t="s">
        <v>1339</v>
      </c>
      <c r="F489" s="17" t="s">
        <v>1340</v>
      </c>
      <c r="G489" s="18">
        <v>2</v>
      </c>
      <c r="H489" s="19">
        <v>0</v>
      </c>
      <c r="I489" s="18">
        <v>0</v>
      </c>
      <c r="J489" s="8" t="s">
        <v>100</v>
      </c>
      <c r="K489" s="14">
        <v>60250</v>
      </c>
      <c r="L489" s="14" t="s">
        <v>1286</v>
      </c>
      <c r="M489" s="20" t="s">
        <v>114</v>
      </c>
      <c r="N489" s="14" t="s">
        <v>649</v>
      </c>
      <c r="O489" s="12">
        <f t="shared" si="21"/>
        <v>10</v>
      </c>
      <c r="P489" t="str">
        <f t="shared" si="23"/>
        <v>SM-S931✦G</v>
      </c>
      <c r="Q489">
        <f t="shared" si="22"/>
        <v>2</v>
      </c>
      <c r="R489" s="21"/>
    </row>
    <row r="490" spans="1:18" x14ac:dyDescent="0.3">
      <c r="A490" s="14">
        <v>7425</v>
      </c>
      <c r="B490" s="8" t="s">
        <v>96</v>
      </c>
      <c r="C490" s="15" t="s">
        <v>1341</v>
      </c>
      <c r="D490" s="16">
        <v>8806097343141</v>
      </c>
      <c r="E490" s="14" t="s">
        <v>1342</v>
      </c>
      <c r="F490" s="17" t="s">
        <v>1343</v>
      </c>
      <c r="G490" s="18">
        <v>1</v>
      </c>
      <c r="I490" s="18">
        <v>0</v>
      </c>
      <c r="J490" s="8" t="s">
        <v>100</v>
      </c>
      <c r="K490" s="14">
        <v>99749</v>
      </c>
      <c r="L490" s="14" t="s">
        <v>1286</v>
      </c>
      <c r="M490" s="20" t="s">
        <v>114</v>
      </c>
      <c r="N490" s="14" t="s">
        <v>649</v>
      </c>
      <c r="O490" s="12">
        <f t="shared" si="21"/>
        <v>10</v>
      </c>
      <c r="P490" t="str">
        <f t="shared" si="23"/>
        <v>SM-S937✦G</v>
      </c>
      <c r="Q490">
        <f t="shared" si="22"/>
        <v>1</v>
      </c>
      <c r="R490" s="21"/>
    </row>
    <row r="491" spans="1:18" x14ac:dyDescent="0.3">
      <c r="A491" s="14">
        <v>7375</v>
      </c>
      <c r="B491" s="8" t="s">
        <v>96</v>
      </c>
      <c r="C491" s="15" t="s">
        <v>1344</v>
      </c>
      <c r="D491" s="16">
        <v>8806097343066</v>
      </c>
      <c r="E491" s="14" t="s">
        <v>1345</v>
      </c>
      <c r="F491" s="17" t="s">
        <v>1346</v>
      </c>
      <c r="G491" s="18">
        <v>1</v>
      </c>
      <c r="I491" s="18">
        <v>0</v>
      </c>
      <c r="J491" s="8" t="s">
        <v>100</v>
      </c>
      <c r="K491" s="14">
        <v>99749</v>
      </c>
      <c r="L491" s="14" t="s">
        <v>1286</v>
      </c>
      <c r="M491" s="20" t="s">
        <v>114</v>
      </c>
      <c r="N491" s="14" t="s">
        <v>649</v>
      </c>
      <c r="O491" s="12">
        <f t="shared" si="21"/>
        <v>10</v>
      </c>
      <c r="P491" t="str">
        <f t="shared" si="23"/>
        <v>SM-S937✦G</v>
      </c>
      <c r="Q491">
        <f t="shared" si="22"/>
        <v>1</v>
      </c>
      <c r="R491" s="21"/>
    </row>
    <row r="492" spans="1:18" x14ac:dyDescent="0.3">
      <c r="A492" s="14">
        <v>7522</v>
      </c>
      <c r="B492" s="8" t="s">
        <v>96</v>
      </c>
      <c r="C492" s="15" t="s">
        <v>1347</v>
      </c>
      <c r="D492" s="16">
        <v>8806097662235</v>
      </c>
      <c r="E492" s="14" t="s">
        <v>1348</v>
      </c>
      <c r="F492" s="17" t="s">
        <v>1349</v>
      </c>
      <c r="G492" s="18">
        <v>2</v>
      </c>
      <c r="I492" s="18">
        <v>0</v>
      </c>
      <c r="J492" s="8" t="s">
        <v>100</v>
      </c>
      <c r="K492" s="14">
        <v>49999</v>
      </c>
      <c r="L492" s="14" t="s">
        <v>1286</v>
      </c>
      <c r="M492" s="20" t="s">
        <v>114</v>
      </c>
      <c r="N492" s="14" t="s">
        <v>649</v>
      </c>
      <c r="O492" s="12">
        <f t="shared" si="21"/>
        <v>10</v>
      </c>
      <c r="P492" t="str">
        <f t="shared" si="23"/>
        <v>SM-S731✦G</v>
      </c>
      <c r="Q492">
        <f t="shared" si="22"/>
        <v>2</v>
      </c>
      <c r="R492" s="21"/>
    </row>
    <row r="493" spans="1:18" x14ac:dyDescent="0.3">
      <c r="A493" s="14">
        <v>7523</v>
      </c>
      <c r="B493" s="8" t="s">
        <v>96</v>
      </c>
      <c r="C493" s="15" t="s">
        <v>1350</v>
      </c>
      <c r="D493" s="16">
        <v>8806097662228</v>
      </c>
      <c r="E493" s="14" t="s">
        <v>1351</v>
      </c>
      <c r="F493" s="17" t="s">
        <v>1352</v>
      </c>
      <c r="G493" s="18">
        <v>5</v>
      </c>
      <c r="I493" s="18">
        <v>0</v>
      </c>
      <c r="J493" s="8" t="s">
        <v>100</v>
      </c>
      <c r="K493" s="14">
        <v>49999</v>
      </c>
      <c r="L493" s="14" t="s">
        <v>1286</v>
      </c>
      <c r="M493" s="20" t="s">
        <v>114</v>
      </c>
      <c r="N493" s="14" t="s">
        <v>649</v>
      </c>
      <c r="O493" s="12">
        <f t="shared" si="21"/>
        <v>10</v>
      </c>
      <c r="P493" t="str">
        <f t="shared" si="23"/>
        <v>SM-S731✦G</v>
      </c>
      <c r="Q493">
        <f t="shared" si="22"/>
        <v>5</v>
      </c>
      <c r="R493" s="21"/>
    </row>
    <row r="494" spans="1:18" x14ac:dyDescent="0.3">
      <c r="A494" s="14">
        <v>7508</v>
      </c>
      <c r="B494" s="8" t="s">
        <v>96</v>
      </c>
      <c r="C494" s="15" t="s">
        <v>1353</v>
      </c>
      <c r="D494" s="16">
        <v>8806097662259</v>
      </c>
      <c r="E494" s="14" t="s">
        <v>1354</v>
      </c>
      <c r="F494" s="17" t="s">
        <v>1355</v>
      </c>
      <c r="G494" s="18">
        <v>1</v>
      </c>
      <c r="I494" s="18">
        <v>0</v>
      </c>
      <c r="J494" s="8" t="s">
        <v>100</v>
      </c>
      <c r="K494" s="14">
        <v>49999</v>
      </c>
      <c r="L494" s="14" t="s">
        <v>1286</v>
      </c>
      <c r="M494" s="20" t="s">
        <v>114</v>
      </c>
      <c r="N494" s="14" t="s">
        <v>649</v>
      </c>
      <c r="O494" s="12">
        <f t="shared" si="21"/>
        <v>10</v>
      </c>
      <c r="P494" t="str">
        <f t="shared" si="23"/>
        <v>SM-S731✦G</v>
      </c>
      <c r="Q494">
        <f t="shared" si="22"/>
        <v>1</v>
      </c>
      <c r="R494" s="21"/>
    </row>
    <row r="495" spans="1:18" x14ac:dyDescent="0.3">
      <c r="A495" s="14">
        <v>7265</v>
      </c>
      <c r="B495" s="8" t="s">
        <v>96</v>
      </c>
      <c r="C495" s="15" t="s">
        <v>1356</v>
      </c>
      <c r="D495" s="16">
        <v>8806095849591</v>
      </c>
      <c r="E495" s="14" t="s">
        <v>1357</v>
      </c>
      <c r="F495" s="17" t="s">
        <v>1358</v>
      </c>
      <c r="G495" s="18">
        <v>2</v>
      </c>
      <c r="I495" s="18">
        <v>0</v>
      </c>
      <c r="J495" s="8" t="s">
        <v>100</v>
      </c>
      <c r="K495" s="14">
        <v>98899</v>
      </c>
      <c r="L495" s="14" t="s">
        <v>1286</v>
      </c>
      <c r="M495" s="20" t="s">
        <v>114</v>
      </c>
      <c r="N495" s="14" t="s">
        <v>649</v>
      </c>
      <c r="O495" s="12">
        <f t="shared" si="21"/>
        <v>10</v>
      </c>
      <c r="P495" t="str">
        <f t="shared" si="23"/>
        <v>SM-S938✦D</v>
      </c>
      <c r="Q495">
        <f t="shared" si="22"/>
        <v>2</v>
      </c>
      <c r="R495" s="21"/>
    </row>
    <row r="496" spans="1:18" x14ac:dyDescent="0.3">
      <c r="A496" s="14">
        <v>7295</v>
      </c>
      <c r="B496" s="8" t="s">
        <v>96</v>
      </c>
      <c r="C496" s="15" t="s">
        <v>1359</v>
      </c>
      <c r="D496" s="16">
        <v>8806095848792</v>
      </c>
      <c r="E496" s="14" t="s">
        <v>1360</v>
      </c>
      <c r="F496" s="17" t="s">
        <v>1361</v>
      </c>
      <c r="G496" s="18">
        <v>3</v>
      </c>
      <c r="I496" s="18">
        <v>0</v>
      </c>
      <c r="J496" s="8" t="s">
        <v>100</v>
      </c>
      <c r="L496" s="14" t="s">
        <v>1286</v>
      </c>
      <c r="M496" s="20" t="s">
        <v>114</v>
      </c>
      <c r="N496" s="14" t="s">
        <v>649</v>
      </c>
      <c r="O496" s="12">
        <f t="shared" si="21"/>
        <v>10</v>
      </c>
      <c r="P496" t="str">
        <f t="shared" si="23"/>
        <v>SM-S936✦D</v>
      </c>
      <c r="Q496">
        <f t="shared" si="22"/>
        <v>3</v>
      </c>
      <c r="R496" s="21"/>
    </row>
    <row r="497" spans="1:18" x14ac:dyDescent="0.3">
      <c r="A497" s="14">
        <v>7078</v>
      </c>
      <c r="B497" s="8" t="s">
        <v>96</v>
      </c>
      <c r="C497" s="15" t="s">
        <v>1362</v>
      </c>
      <c r="D497" s="16">
        <v>8806095725680</v>
      </c>
      <c r="E497" s="14" t="s">
        <v>1363</v>
      </c>
      <c r="F497" s="17" t="s">
        <v>1364</v>
      </c>
      <c r="G497" s="18">
        <v>1</v>
      </c>
      <c r="I497" s="18">
        <v>0</v>
      </c>
      <c r="J497" s="8" t="s">
        <v>100</v>
      </c>
      <c r="K497" s="14">
        <v>76599</v>
      </c>
      <c r="L497" s="14" t="s">
        <v>1286</v>
      </c>
      <c r="M497" s="20" t="s">
        <v>114</v>
      </c>
      <c r="N497" s="14" t="s">
        <v>649</v>
      </c>
      <c r="O497" s="12">
        <f t="shared" si="21"/>
        <v>10</v>
      </c>
      <c r="P497" t="str">
        <f t="shared" si="23"/>
        <v>SM-F741✦G</v>
      </c>
      <c r="Q497">
        <f t="shared" si="22"/>
        <v>1</v>
      </c>
      <c r="R497" s="21"/>
    </row>
    <row r="498" spans="1:18" x14ac:dyDescent="0.3">
      <c r="A498" s="14">
        <v>7455</v>
      </c>
      <c r="B498" s="8" t="s">
        <v>96</v>
      </c>
      <c r="C498" s="15" t="s">
        <v>1365</v>
      </c>
      <c r="D498" s="16">
        <v>8806097423409</v>
      </c>
      <c r="E498" s="14" t="s">
        <v>1366</v>
      </c>
      <c r="F498" s="17" t="s">
        <v>1367</v>
      </c>
      <c r="G498" s="18">
        <v>2</v>
      </c>
      <c r="I498" s="18">
        <v>0</v>
      </c>
      <c r="J498" s="8" t="s">
        <v>100</v>
      </c>
      <c r="K498" s="14">
        <v>99999</v>
      </c>
      <c r="L498" s="14" t="s">
        <v>1286</v>
      </c>
      <c r="M498" s="20" t="s">
        <v>114</v>
      </c>
      <c r="N498" s="14" t="s">
        <v>649</v>
      </c>
      <c r="O498" s="12">
        <f t="shared" si="21"/>
        <v>10</v>
      </c>
      <c r="P498" t="str">
        <f t="shared" si="23"/>
        <v>SM-F766✦G</v>
      </c>
      <c r="Q498">
        <f t="shared" si="22"/>
        <v>2</v>
      </c>
      <c r="R498" s="21"/>
    </row>
    <row r="499" spans="1:18" x14ac:dyDescent="0.3">
      <c r="A499" s="14">
        <v>7493</v>
      </c>
      <c r="B499" s="8" t="s">
        <v>96</v>
      </c>
      <c r="C499" s="15" t="s">
        <v>1368</v>
      </c>
      <c r="D499" s="16">
        <v>8806097423461</v>
      </c>
      <c r="E499" s="14" t="s">
        <v>1369</v>
      </c>
      <c r="F499" s="17" t="s">
        <v>1370</v>
      </c>
      <c r="G499" s="18">
        <v>1</v>
      </c>
      <c r="I499" s="18">
        <v>0</v>
      </c>
      <c r="J499" s="8" t="s">
        <v>100</v>
      </c>
      <c r="K499" s="14">
        <v>99999</v>
      </c>
      <c r="L499" s="14" t="s">
        <v>1286</v>
      </c>
      <c r="M499" s="20" t="s">
        <v>114</v>
      </c>
      <c r="N499" s="14" t="s">
        <v>649</v>
      </c>
      <c r="O499" s="12">
        <f t="shared" si="21"/>
        <v>10</v>
      </c>
      <c r="P499" t="str">
        <f t="shared" si="23"/>
        <v>SM-F766✦H</v>
      </c>
      <c r="Q499">
        <f t="shared" si="22"/>
        <v>1</v>
      </c>
      <c r="R499" s="21"/>
    </row>
    <row r="500" spans="1:18" x14ac:dyDescent="0.3">
      <c r="A500" s="14">
        <v>7475</v>
      </c>
      <c r="B500" s="8" t="s">
        <v>96</v>
      </c>
      <c r="C500" s="15" t="s">
        <v>1371</v>
      </c>
      <c r="D500" s="16">
        <v>8806097428374</v>
      </c>
      <c r="E500" s="14" t="s">
        <v>1372</v>
      </c>
      <c r="F500" s="17" t="s">
        <v>1373</v>
      </c>
      <c r="G500" s="18">
        <v>1</v>
      </c>
      <c r="I500" s="18">
        <v>0</v>
      </c>
      <c r="J500" s="8" t="s">
        <v>100</v>
      </c>
      <c r="K500" s="14">
        <v>79999</v>
      </c>
      <c r="L500" s="14" t="s">
        <v>1286</v>
      </c>
      <c r="M500" s="20" t="s">
        <v>114</v>
      </c>
      <c r="N500" s="14" t="s">
        <v>649</v>
      </c>
      <c r="O500" s="12">
        <f t="shared" si="21"/>
        <v>10</v>
      </c>
      <c r="P500" t="str">
        <f t="shared" si="23"/>
        <v>SM-F761✦G</v>
      </c>
      <c r="Q500">
        <f t="shared" si="22"/>
        <v>1</v>
      </c>
      <c r="R500" s="21"/>
    </row>
    <row r="501" spans="1:18" x14ac:dyDescent="0.3">
      <c r="A501" s="14">
        <v>7457</v>
      </c>
      <c r="B501" s="8" t="s">
        <v>96</v>
      </c>
      <c r="C501" s="15" t="s">
        <v>1374</v>
      </c>
      <c r="D501" s="16">
        <v>8806097498650</v>
      </c>
      <c r="E501" s="14" t="s">
        <v>1375</v>
      </c>
      <c r="F501" s="17" t="s">
        <v>1376</v>
      </c>
      <c r="G501" s="18">
        <v>1</v>
      </c>
      <c r="I501" s="18">
        <v>0</v>
      </c>
      <c r="J501" s="8" t="s">
        <v>100</v>
      </c>
      <c r="K501" s="14">
        <v>78999</v>
      </c>
      <c r="L501" s="14" t="s">
        <v>1286</v>
      </c>
      <c r="M501" s="20" t="s">
        <v>114</v>
      </c>
      <c r="N501" s="14" t="s">
        <v>649</v>
      </c>
      <c r="O501" s="12">
        <f t="shared" si="21"/>
        <v>10</v>
      </c>
      <c r="P501" t="str">
        <f t="shared" si="23"/>
        <v>SM-F761✦G</v>
      </c>
      <c r="Q501">
        <f t="shared" si="22"/>
        <v>1</v>
      </c>
      <c r="R501" s="21"/>
    </row>
    <row r="502" spans="1:18" x14ac:dyDescent="0.3">
      <c r="A502" s="14">
        <v>7079</v>
      </c>
      <c r="B502" s="8" t="s">
        <v>96</v>
      </c>
      <c r="C502" s="15" t="s">
        <v>1377</v>
      </c>
      <c r="D502" s="16">
        <v>8806095725802</v>
      </c>
      <c r="E502" s="14" t="s">
        <v>1378</v>
      </c>
      <c r="F502" s="17" t="s">
        <v>1379</v>
      </c>
      <c r="G502" s="18">
        <v>1</v>
      </c>
      <c r="I502" s="18">
        <v>0</v>
      </c>
      <c r="J502" s="8" t="s">
        <v>100</v>
      </c>
      <c r="K502" s="14">
        <v>127499</v>
      </c>
      <c r="L502" s="14" t="s">
        <v>1286</v>
      </c>
      <c r="M502" s="20" t="s">
        <v>114</v>
      </c>
      <c r="N502" s="14" t="s">
        <v>649</v>
      </c>
      <c r="O502" s="12">
        <f t="shared" si="21"/>
        <v>10</v>
      </c>
      <c r="P502" t="str">
        <f t="shared" si="23"/>
        <v>SM-F956✦C</v>
      </c>
      <c r="Q502">
        <f t="shared" si="22"/>
        <v>1</v>
      </c>
      <c r="R502" s="21"/>
    </row>
    <row r="503" spans="1:18" x14ac:dyDescent="0.3">
      <c r="A503" s="14">
        <v>7458</v>
      </c>
      <c r="B503" s="8" t="s">
        <v>96</v>
      </c>
      <c r="C503" s="15" t="s">
        <v>1380</v>
      </c>
      <c r="D503" s="16">
        <v>8806097425007</v>
      </c>
      <c r="E503" s="14" t="s">
        <v>1381</v>
      </c>
      <c r="F503" s="17" t="s">
        <v>1382</v>
      </c>
      <c r="G503" s="18">
        <v>1</v>
      </c>
      <c r="I503" s="18">
        <v>0</v>
      </c>
      <c r="J503" s="8" t="s">
        <v>100</v>
      </c>
      <c r="K503" s="14">
        <v>149999</v>
      </c>
      <c r="L503" s="14" t="s">
        <v>1286</v>
      </c>
      <c r="M503" s="20" t="s">
        <v>114</v>
      </c>
      <c r="N503" s="14" t="s">
        <v>649</v>
      </c>
      <c r="O503" s="12">
        <f t="shared" si="21"/>
        <v>10</v>
      </c>
      <c r="P503" t="str">
        <f t="shared" si="23"/>
        <v>SM-F966✦B</v>
      </c>
      <c r="Q503">
        <f t="shared" si="22"/>
        <v>1</v>
      </c>
      <c r="R503" s="21"/>
    </row>
    <row r="504" spans="1:18" x14ac:dyDescent="0.3">
      <c r="A504" s="14">
        <v>7495</v>
      </c>
      <c r="B504" s="8" t="s">
        <v>96</v>
      </c>
      <c r="C504" s="15" t="s">
        <v>1383</v>
      </c>
      <c r="D504" s="16">
        <v>8806097424208</v>
      </c>
      <c r="E504" s="14" t="s">
        <v>1384</v>
      </c>
      <c r="F504" s="17" t="s">
        <v>1385</v>
      </c>
      <c r="G504" s="18">
        <v>1</v>
      </c>
      <c r="I504" s="18">
        <v>0</v>
      </c>
      <c r="J504" s="8" t="s">
        <v>100</v>
      </c>
      <c r="K504" s="14">
        <v>149999</v>
      </c>
      <c r="L504" s="14" t="s">
        <v>1286</v>
      </c>
      <c r="M504" s="20" t="s">
        <v>114</v>
      </c>
      <c r="N504" s="14" t="s">
        <v>649</v>
      </c>
      <c r="O504" s="12">
        <f t="shared" si="21"/>
        <v>10</v>
      </c>
      <c r="P504" t="str">
        <f t="shared" si="23"/>
        <v>SM-F966✦C</v>
      </c>
      <c r="Q504">
        <f t="shared" si="22"/>
        <v>1</v>
      </c>
      <c r="R504" s="21"/>
    </row>
    <row r="505" spans="1:18" x14ac:dyDescent="0.3">
      <c r="A505" s="14">
        <v>7471</v>
      </c>
      <c r="B505" s="8" t="s">
        <v>96</v>
      </c>
      <c r="C505" s="15" t="s">
        <v>1386</v>
      </c>
      <c r="D505" s="16">
        <v>8806097424895</v>
      </c>
      <c r="E505" s="14" t="s">
        <v>1387</v>
      </c>
      <c r="F505" s="17" t="s">
        <v>1388</v>
      </c>
      <c r="G505" s="18">
        <v>1</v>
      </c>
      <c r="H505" s="19">
        <v>0</v>
      </c>
      <c r="I505" s="18">
        <v>0</v>
      </c>
      <c r="J505" s="8" t="s">
        <v>100</v>
      </c>
      <c r="K505" s="14">
        <v>149999</v>
      </c>
      <c r="L505" s="14" t="s">
        <v>1286</v>
      </c>
      <c r="M505" s="20" t="s">
        <v>114</v>
      </c>
      <c r="N505" s="14" t="s">
        <v>649</v>
      </c>
      <c r="O505" s="12">
        <f t="shared" si="21"/>
        <v>10</v>
      </c>
      <c r="P505" t="str">
        <f t="shared" si="23"/>
        <v>SM-F966✦C</v>
      </c>
      <c r="Q505">
        <f t="shared" si="22"/>
        <v>1</v>
      </c>
      <c r="R505" s="21"/>
    </row>
    <row r="506" spans="1:18" x14ac:dyDescent="0.3">
      <c r="A506" s="14">
        <v>6460</v>
      </c>
      <c r="B506" s="8" t="s">
        <v>96</v>
      </c>
      <c r="C506" s="15" t="s">
        <v>1389</v>
      </c>
      <c r="D506" s="16">
        <v>8806092978287</v>
      </c>
      <c r="E506" s="14" t="s">
        <v>1390</v>
      </c>
      <c r="F506" s="17" t="s">
        <v>1391</v>
      </c>
      <c r="G506" s="18">
        <v>5</v>
      </c>
      <c r="H506" s="19">
        <v>0</v>
      </c>
      <c r="I506" s="18">
        <v>0</v>
      </c>
      <c r="J506" s="8" t="s">
        <v>100</v>
      </c>
      <c r="K506" s="14">
        <v>2899</v>
      </c>
      <c r="L506" s="14" t="s">
        <v>686</v>
      </c>
      <c r="M506" s="20" t="s">
        <v>114</v>
      </c>
      <c r="N506" s="14" t="s">
        <v>234</v>
      </c>
      <c r="O506" s="12">
        <f t="shared" si="21"/>
        <v>10</v>
      </c>
      <c r="P506" t="str">
        <f t="shared" si="23"/>
        <v>EP-P5400T</v>
      </c>
      <c r="Q506">
        <f t="shared" si="22"/>
        <v>5</v>
      </c>
      <c r="R506" s="21"/>
    </row>
    <row r="507" spans="1:18" x14ac:dyDescent="0.3">
      <c r="A507" s="14">
        <v>6907</v>
      </c>
      <c r="B507" s="8" t="s">
        <v>96</v>
      </c>
      <c r="C507" s="15" t="s">
        <v>1392</v>
      </c>
      <c r="D507" s="16">
        <v>8806095379104</v>
      </c>
      <c r="E507" s="14" t="s">
        <v>1393</v>
      </c>
      <c r="F507" s="17" t="s">
        <v>1394</v>
      </c>
      <c r="G507" s="18">
        <v>2</v>
      </c>
      <c r="I507" s="18">
        <v>0</v>
      </c>
      <c r="J507" s="8" t="s">
        <v>100</v>
      </c>
      <c r="K507" s="14">
        <v>3499</v>
      </c>
      <c r="L507" s="14" t="s">
        <v>1286</v>
      </c>
      <c r="M507" s="20" t="s">
        <v>114</v>
      </c>
      <c r="N507" s="14" t="s">
        <v>649</v>
      </c>
      <c r="O507" s="12">
        <f t="shared" si="21"/>
        <v>10</v>
      </c>
      <c r="P507" t="str">
        <f t="shared" si="23"/>
        <v>SM-R390✦A</v>
      </c>
      <c r="Q507">
        <f t="shared" si="22"/>
        <v>2</v>
      </c>
      <c r="R507" s="21"/>
    </row>
    <row r="508" spans="1:18" x14ac:dyDescent="0.3">
      <c r="A508" s="14">
        <v>7069</v>
      </c>
      <c r="B508" s="8" t="s">
        <v>96</v>
      </c>
      <c r="C508" s="15" t="s">
        <v>1395</v>
      </c>
      <c r="D508" s="16">
        <v>8806095728438</v>
      </c>
      <c r="E508" s="14" t="s">
        <v>1396</v>
      </c>
      <c r="F508" s="17" t="s">
        <v>1397</v>
      </c>
      <c r="G508" s="18">
        <v>1</v>
      </c>
      <c r="I508" s="18">
        <v>0</v>
      </c>
      <c r="J508" s="8" t="s">
        <v>100</v>
      </c>
      <c r="K508" s="14">
        <v>9999</v>
      </c>
      <c r="L508" s="14" t="s">
        <v>1286</v>
      </c>
      <c r="M508" s="20" t="s">
        <v>114</v>
      </c>
      <c r="N508" s="14" t="s">
        <v>649</v>
      </c>
      <c r="O508" s="12">
        <f t="shared" si="21"/>
        <v>10</v>
      </c>
      <c r="P508" t="str">
        <f t="shared" si="23"/>
        <v>SM-R861✦A</v>
      </c>
      <c r="Q508">
        <f t="shared" si="22"/>
        <v>1</v>
      </c>
      <c r="R508" s="21"/>
    </row>
    <row r="509" spans="1:18" x14ac:dyDescent="0.3">
      <c r="A509" s="14">
        <v>6247</v>
      </c>
      <c r="B509" s="8" t="s">
        <v>96</v>
      </c>
      <c r="C509" s="15" t="s">
        <v>1398</v>
      </c>
      <c r="D509" s="16">
        <v>8806094523621</v>
      </c>
      <c r="E509" s="14" t="s">
        <v>1399</v>
      </c>
      <c r="F509" s="17" t="s">
        <v>1400</v>
      </c>
      <c r="G509" s="18">
        <v>1</v>
      </c>
      <c r="H509" s="19">
        <v>0</v>
      </c>
      <c r="I509" s="18">
        <v>0</v>
      </c>
      <c r="J509" s="8" t="s">
        <v>100</v>
      </c>
      <c r="K509" s="14">
        <v>14199</v>
      </c>
      <c r="L509" s="14" t="s">
        <v>1286</v>
      </c>
      <c r="M509" s="20" t="s">
        <v>114</v>
      </c>
      <c r="N509" s="14" t="s">
        <v>649</v>
      </c>
      <c r="O509" s="12">
        <f t="shared" si="21"/>
        <v>10</v>
      </c>
      <c r="P509" t="str">
        <f t="shared" si="23"/>
        <v>SM-R920✦A</v>
      </c>
      <c r="Q509">
        <f t="shared" si="22"/>
        <v>1</v>
      </c>
      <c r="R509" s="21"/>
    </row>
    <row r="510" spans="1:18" x14ac:dyDescent="0.3">
      <c r="A510" s="14">
        <v>7097</v>
      </c>
      <c r="B510" s="8" t="s">
        <v>96</v>
      </c>
      <c r="C510" s="15" t="s">
        <v>1401</v>
      </c>
      <c r="D510" s="16">
        <v>8806095661834</v>
      </c>
      <c r="E510" s="14" t="s">
        <v>1402</v>
      </c>
      <c r="F510" s="17" t="s">
        <v>1403</v>
      </c>
      <c r="G510" s="18">
        <v>1</v>
      </c>
      <c r="I510" s="18">
        <v>0</v>
      </c>
      <c r="J510" s="8" t="s">
        <v>100</v>
      </c>
      <c r="K510" s="14">
        <v>12199</v>
      </c>
      <c r="L510" s="14" t="s">
        <v>1286</v>
      </c>
      <c r="M510" s="20" t="s">
        <v>114</v>
      </c>
      <c r="N510" s="14" t="s">
        <v>649</v>
      </c>
      <c r="O510" s="12">
        <f t="shared" si="21"/>
        <v>10</v>
      </c>
      <c r="P510" t="str">
        <f t="shared" si="23"/>
        <v>SM-L300✦A</v>
      </c>
      <c r="Q510">
        <f t="shared" si="22"/>
        <v>1</v>
      </c>
      <c r="R510" s="21"/>
    </row>
    <row r="511" spans="1:18" x14ac:dyDescent="0.3">
      <c r="A511" s="14">
        <v>7444</v>
      </c>
      <c r="B511" s="8" t="s">
        <v>96</v>
      </c>
      <c r="C511" s="15" t="s">
        <v>1404</v>
      </c>
      <c r="D511" s="16">
        <v>8806095662190</v>
      </c>
      <c r="E511" s="14" t="s">
        <v>1405</v>
      </c>
      <c r="F511" s="17" t="s">
        <v>1406</v>
      </c>
      <c r="G511" s="18">
        <v>1</v>
      </c>
      <c r="I511" s="18">
        <v>0</v>
      </c>
      <c r="J511" s="8" t="s">
        <v>100</v>
      </c>
      <c r="K511" s="14">
        <v>12199</v>
      </c>
      <c r="L511" s="14" t="s">
        <v>1286</v>
      </c>
      <c r="M511" s="20" t="s">
        <v>114</v>
      </c>
      <c r="N511" s="14" t="s">
        <v>649</v>
      </c>
      <c r="O511" s="12">
        <f t="shared" si="21"/>
        <v>10</v>
      </c>
      <c r="P511" t="str">
        <f t="shared" si="23"/>
        <v>SM-L300✦A</v>
      </c>
      <c r="Q511">
        <f t="shared" si="22"/>
        <v>1</v>
      </c>
      <c r="R511" s="21"/>
    </row>
    <row r="512" spans="1:18" x14ac:dyDescent="0.3">
      <c r="A512" s="14">
        <v>7105</v>
      </c>
      <c r="B512" s="8" t="s">
        <v>96</v>
      </c>
      <c r="C512" s="15" t="s">
        <v>1407</v>
      </c>
      <c r="D512" s="16">
        <v>8806095660875</v>
      </c>
      <c r="E512" s="14" t="s">
        <v>1408</v>
      </c>
      <c r="F512" s="17" t="s">
        <v>1409</v>
      </c>
      <c r="G512" s="18">
        <v>1</v>
      </c>
      <c r="I512" s="18">
        <v>0</v>
      </c>
      <c r="J512" s="8" t="s">
        <v>100</v>
      </c>
      <c r="K512" s="14">
        <v>13699</v>
      </c>
      <c r="L512" s="14" t="s">
        <v>1286</v>
      </c>
      <c r="M512" s="20" t="s">
        <v>114</v>
      </c>
      <c r="N512" s="14" t="s">
        <v>649</v>
      </c>
      <c r="O512" s="12">
        <f t="shared" si="21"/>
        <v>10</v>
      </c>
      <c r="P512" t="str">
        <f t="shared" si="23"/>
        <v>SM-L310✦A</v>
      </c>
      <c r="Q512">
        <f t="shared" si="22"/>
        <v>1</v>
      </c>
      <c r="R512" s="21"/>
    </row>
    <row r="513" spans="1:18" x14ac:dyDescent="0.3">
      <c r="A513" s="14">
        <v>7116</v>
      </c>
      <c r="B513" s="8" t="s">
        <v>96</v>
      </c>
      <c r="C513" s="15" t="s">
        <v>1410</v>
      </c>
      <c r="D513" s="16">
        <v>8806095660578</v>
      </c>
      <c r="E513" s="14" t="s">
        <v>1411</v>
      </c>
      <c r="F513" s="17" t="s">
        <v>1412</v>
      </c>
      <c r="G513" s="18">
        <v>2</v>
      </c>
      <c r="I513" s="18">
        <v>0</v>
      </c>
      <c r="J513" s="8" t="s">
        <v>100</v>
      </c>
      <c r="K513" s="14">
        <v>14999</v>
      </c>
      <c r="L513" s="14" t="s">
        <v>1286</v>
      </c>
      <c r="M513" s="20" t="s">
        <v>114</v>
      </c>
      <c r="N513" s="14" t="s">
        <v>649</v>
      </c>
      <c r="O513" s="12">
        <f t="shared" si="21"/>
        <v>10</v>
      </c>
      <c r="P513" t="str">
        <f t="shared" si="23"/>
        <v>SM-L310✦A</v>
      </c>
      <c r="Q513">
        <f t="shared" si="22"/>
        <v>2</v>
      </c>
      <c r="R513" s="21"/>
    </row>
    <row r="514" spans="1:18" x14ac:dyDescent="0.3">
      <c r="A514" s="14">
        <v>7466</v>
      </c>
      <c r="B514" s="8" t="s">
        <v>96</v>
      </c>
      <c r="C514" s="15" t="s">
        <v>1413</v>
      </c>
      <c r="D514" s="16">
        <v>8806097416753</v>
      </c>
      <c r="E514" s="14" t="s">
        <v>1414</v>
      </c>
      <c r="F514" s="17" t="s">
        <v>1415</v>
      </c>
      <c r="G514" s="18">
        <v>1</v>
      </c>
      <c r="H514" s="19">
        <v>0</v>
      </c>
      <c r="I514" s="18">
        <v>0</v>
      </c>
      <c r="J514" s="8" t="s">
        <v>100</v>
      </c>
      <c r="K514" s="14">
        <v>14999</v>
      </c>
      <c r="L514" s="14" t="s">
        <v>1286</v>
      </c>
      <c r="M514" s="20" t="s">
        <v>114</v>
      </c>
      <c r="N514" s="14" t="s">
        <v>649</v>
      </c>
      <c r="O514" s="12">
        <f t="shared" si="21"/>
        <v>10</v>
      </c>
      <c r="P514" t="str">
        <f t="shared" si="23"/>
        <v>SM-L320✦A</v>
      </c>
      <c r="Q514">
        <f t="shared" si="22"/>
        <v>1</v>
      </c>
      <c r="R514" s="21"/>
    </row>
    <row r="515" spans="1:18" x14ac:dyDescent="0.3">
      <c r="A515" s="14">
        <v>7474</v>
      </c>
      <c r="B515" s="8" t="s">
        <v>96</v>
      </c>
      <c r="C515" s="15" t="s">
        <v>1416</v>
      </c>
      <c r="D515" s="16">
        <v>8806097416357</v>
      </c>
      <c r="E515" s="14" t="s">
        <v>1417</v>
      </c>
      <c r="F515" s="17" t="s">
        <v>1418</v>
      </c>
      <c r="G515" s="18">
        <v>5</v>
      </c>
      <c r="I515" s="18">
        <v>0</v>
      </c>
      <c r="J515" s="8" t="s">
        <v>100</v>
      </c>
      <c r="K515" s="14">
        <v>14999</v>
      </c>
      <c r="L515" s="14" t="s">
        <v>1286</v>
      </c>
      <c r="M515" s="20" t="s">
        <v>114</v>
      </c>
      <c r="N515" s="14" t="s">
        <v>649</v>
      </c>
      <c r="O515" s="12">
        <f t="shared" ref="O515:O578" si="24">IF(C515&gt;0,10-COUNTIF(AM515:AW515,"-"),"")</f>
        <v>10</v>
      </c>
      <c r="P515" t="str">
        <f t="shared" si="23"/>
        <v>SM-L330✦A</v>
      </c>
      <c r="Q515">
        <f t="shared" ref="Q515:Q578" si="25">G515-H515</f>
        <v>5</v>
      </c>
      <c r="R515" s="21"/>
    </row>
    <row r="516" spans="1:18" x14ac:dyDescent="0.3">
      <c r="A516" s="14">
        <v>7520</v>
      </c>
      <c r="B516" s="8" t="s">
        <v>96</v>
      </c>
      <c r="C516" s="15" t="s">
        <v>1419</v>
      </c>
      <c r="D516" s="16">
        <v>8806097416272</v>
      </c>
      <c r="E516" s="14" t="s">
        <v>1420</v>
      </c>
      <c r="F516" s="17" t="s">
        <v>1421</v>
      </c>
      <c r="G516" s="18">
        <v>4</v>
      </c>
      <c r="I516" s="18">
        <v>0</v>
      </c>
      <c r="J516" s="8" t="s">
        <v>100</v>
      </c>
      <c r="K516" s="14">
        <v>14999</v>
      </c>
      <c r="L516" s="14" t="s">
        <v>1286</v>
      </c>
      <c r="M516" s="20" t="s">
        <v>114</v>
      </c>
      <c r="N516" s="14" t="s">
        <v>649</v>
      </c>
      <c r="O516" s="12">
        <f t="shared" si="24"/>
        <v>10</v>
      </c>
      <c r="P516" t="str">
        <f t="shared" ref="P516:P579" si="26">IF(LEFT(C516,2)="SM",CONCATENATE(LEFT(C516,7),"✦",MID(C516,11,1)),LEFT(C516,9))</f>
        <v>SM-L330✦A</v>
      </c>
      <c r="Q516">
        <f t="shared" si="25"/>
        <v>4</v>
      </c>
      <c r="R516" s="21"/>
    </row>
    <row r="517" spans="1:18" x14ac:dyDescent="0.3">
      <c r="A517" s="14">
        <v>7492</v>
      </c>
      <c r="B517" s="8" t="s">
        <v>96</v>
      </c>
      <c r="C517" s="15" t="s">
        <v>1422</v>
      </c>
      <c r="D517" s="16">
        <v>8806097416685</v>
      </c>
      <c r="E517" s="14" t="s">
        <v>1423</v>
      </c>
      <c r="F517" s="17" t="s">
        <v>1424</v>
      </c>
      <c r="G517" s="18">
        <v>1</v>
      </c>
      <c r="I517" s="18">
        <v>0</v>
      </c>
      <c r="J517" s="8" t="s">
        <v>100</v>
      </c>
      <c r="K517" s="14">
        <v>24999</v>
      </c>
      <c r="L517" s="14" t="s">
        <v>1286</v>
      </c>
      <c r="M517" s="20" t="s">
        <v>114</v>
      </c>
      <c r="N517" s="14" t="s">
        <v>649</v>
      </c>
      <c r="O517" s="12">
        <f t="shared" si="24"/>
        <v>10</v>
      </c>
      <c r="P517" t="str">
        <f t="shared" si="26"/>
        <v>SM-L500✦A</v>
      </c>
      <c r="Q517">
        <f t="shared" si="25"/>
        <v>1</v>
      </c>
      <c r="R517" s="21"/>
    </row>
    <row r="518" spans="1:18" x14ac:dyDescent="0.3">
      <c r="A518" s="14">
        <v>7476</v>
      </c>
      <c r="B518" s="8" t="s">
        <v>96</v>
      </c>
      <c r="C518" s="15" t="s">
        <v>1425</v>
      </c>
      <c r="D518" s="16">
        <v>8806097416593</v>
      </c>
      <c r="E518" s="14" t="s">
        <v>1426</v>
      </c>
      <c r="F518" s="17" t="s">
        <v>1427</v>
      </c>
      <c r="G518" s="18">
        <v>1</v>
      </c>
      <c r="I518" s="18">
        <v>0</v>
      </c>
      <c r="J518" s="8" t="s">
        <v>100</v>
      </c>
      <c r="K518" s="14">
        <v>24999</v>
      </c>
      <c r="L518" s="14" t="s">
        <v>1286</v>
      </c>
      <c r="M518" s="20" t="s">
        <v>114</v>
      </c>
      <c r="N518" s="14" t="s">
        <v>649</v>
      </c>
      <c r="O518" s="12">
        <f t="shared" si="24"/>
        <v>10</v>
      </c>
      <c r="P518" t="str">
        <f t="shared" si="26"/>
        <v>SM-L500✦A</v>
      </c>
      <c r="Q518">
        <f t="shared" si="25"/>
        <v>1</v>
      </c>
      <c r="R518" s="21"/>
    </row>
    <row r="519" spans="1:18" x14ac:dyDescent="0.3">
      <c r="A519" s="14">
        <v>7234</v>
      </c>
      <c r="B519" s="8" t="s">
        <v>96</v>
      </c>
      <c r="C519" s="15" t="s">
        <v>1428</v>
      </c>
      <c r="D519" s="16">
        <v>8806095419985</v>
      </c>
      <c r="E519" s="14" t="s">
        <v>1429</v>
      </c>
      <c r="F519" s="17" t="s">
        <v>1430</v>
      </c>
      <c r="G519" s="18">
        <v>2</v>
      </c>
      <c r="I519" s="18">
        <v>0</v>
      </c>
      <c r="J519" s="8" t="s">
        <v>100</v>
      </c>
      <c r="K519" s="14">
        <v>899</v>
      </c>
      <c r="L519" s="14" t="s">
        <v>686</v>
      </c>
      <c r="M519" s="20" t="s">
        <v>114</v>
      </c>
      <c r="N519" s="14" t="s">
        <v>234</v>
      </c>
      <c r="O519" s="12">
        <f t="shared" si="24"/>
        <v>10</v>
      </c>
      <c r="P519" t="str">
        <f t="shared" si="26"/>
        <v>MB-MC64SA</v>
      </c>
      <c r="Q519">
        <f t="shared" si="25"/>
        <v>2</v>
      </c>
      <c r="R519" s="21"/>
    </row>
    <row r="520" spans="1:18" x14ac:dyDescent="0.3">
      <c r="A520" s="14">
        <v>7217</v>
      </c>
      <c r="B520" s="8" t="s">
        <v>96</v>
      </c>
      <c r="C520" s="15" t="s">
        <v>1431</v>
      </c>
      <c r="D520" s="16">
        <v>8806095419800</v>
      </c>
      <c r="E520" s="14" t="s">
        <v>1432</v>
      </c>
      <c r="F520" s="17" t="s">
        <v>1433</v>
      </c>
      <c r="G520" s="18">
        <v>1</v>
      </c>
      <c r="I520" s="18">
        <v>0</v>
      </c>
      <c r="J520" s="8" t="s">
        <v>100</v>
      </c>
      <c r="K520" s="14">
        <v>999</v>
      </c>
      <c r="L520" s="14" t="s">
        <v>686</v>
      </c>
      <c r="M520" s="20" t="s">
        <v>114</v>
      </c>
      <c r="N520" s="14" t="s">
        <v>234</v>
      </c>
      <c r="O520" s="12">
        <f t="shared" si="24"/>
        <v>10</v>
      </c>
      <c r="P520" t="str">
        <f t="shared" si="26"/>
        <v>MB-MC128S</v>
      </c>
      <c r="Q520">
        <f t="shared" si="25"/>
        <v>1</v>
      </c>
      <c r="R520" s="21"/>
    </row>
    <row r="521" spans="1:18" x14ac:dyDescent="0.3">
      <c r="A521" s="14">
        <v>6462</v>
      </c>
      <c r="B521" s="8" t="s">
        <v>96</v>
      </c>
      <c r="C521" s="15" t="s">
        <v>1434</v>
      </c>
      <c r="D521" s="16">
        <v>8806092697324</v>
      </c>
      <c r="E521" s="14" t="s">
        <v>1435</v>
      </c>
      <c r="F521" s="17" t="s">
        <v>1436</v>
      </c>
      <c r="G521" s="18">
        <v>1</v>
      </c>
      <c r="H521" s="19">
        <v>0</v>
      </c>
      <c r="I521" s="18">
        <v>0</v>
      </c>
      <c r="J521" s="8" t="s">
        <v>100</v>
      </c>
      <c r="K521" s="14">
        <v>599</v>
      </c>
      <c r="L521" s="14" t="s">
        <v>686</v>
      </c>
      <c r="M521" s="20" t="s">
        <v>114</v>
      </c>
      <c r="N521" s="14" t="s">
        <v>649</v>
      </c>
      <c r="O521" s="12">
        <f t="shared" si="24"/>
        <v>10</v>
      </c>
      <c r="P521" t="str">
        <f t="shared" si="26"/>
        <v>EO-IA500B</v>
      </c>
      <c r="Q521">
        <f t="shared" si="25"/>
        <v>1</v>
      </c>
      <c r="R521" s="21"/>
    </row>
    <row r="522" spans="1:18" x14ac:dyDescent="0.3">
      <c r="A522" s="14">
        <v>7521</v>
      </c>
      <c r="B522" s="8" t="s">
        <v>96</v>
      </c>
      <c r="C522" s="15" t="s">
        <v>1437</v>
      </c>
      <c r="D522" s="16">
        <v>8806097618065</v>
      </c>
      <c r="E522" s="14" t="s">
        <v>1438</v>
      </c>
      <c r="F522" s="17" t="s">
        <v>1439</v>
      </c>
      <c r="G522" s="18">
        <v>5</v>
      </c>
      <c r="I522" s="18">
        <v>0</v>
      </c>
      <c r="J522" s="8" t="s">
        <v>100</v>
      </c>
      <c r="K522" s="14">
        <v>3999</v>
      </c>
      <c r="L522" s="14" t="s">
        <v>686</v>
      </c>
      <c r="M522" s="20" t="s">
        <v>114</v>
      </c>
      <c r="N522" s="14" t="s">
        <v>649</v>
      </c>
      <c r="O522" s="12">
        <f t="shared" si="24"/>
        <v>10</v>
      </c>
      <c r="P522" t="str">
        <f t="shared" si="26"/>
        <v>SM-R420✦A</v>
      </c>
      <c r="Q522">
        <f t="shared" si="25"/>
        <v>5</v>
      </c>
      <c r="R522" s="21"/>
    </row>
    <row r="523" spans="1:18" x14ac:dyDescent="0.3">
      <c r="A523" s="14">
        <v>7117</v>
      </c>
      <c r="B523" s="8" t="s">
        <v>96</v>
      </c>
      <c r="C523" s="15" t="s">
        <v>1440</v>
      </c>
      <c r="D523" s="16">
        <v>8806095661612</v>
      </c>
      <c r="E523" s="14" t="s">
        <v>1441</v>
      </c>
      <c r="F523" s="17" t="s">
        <v>1442</v>
      </c>
      <c r="G523" s="18">
        <v>3</v>
      </c>
      <c r="I523" s="18">
        <v>0</v>
      </c>
      <c r="J523" s="8" t="s">
        <v>100</v>
      </c>
      <c r="K523" s="14">
        <v>10599</v>
      </c>
      <c r="L523" s="14" t="s">
        <v>686</v>
      </c>
      <c r="M523" s="20" t="s">
        <v>114</v>
      </c>
      <c r="N523" s="14" t="s">
        <v>649</v>
      </c>
      <c r="O523" s="12">
        <f t="shared" si="24"/>
        <v>10</v>
      </c>
      <c r="P523" t="str">
        <f t="shared" si="26"/>
        <v>SM-R630✦A</v>
      </c>
      <c r="Q523">
        <f t="shared" si="25"/>
        <v>3</v>
      </c>
      <c r="R523" s="21"/>
    </row>
    <row r="524" spans="1:18" x14ac:dyDescent="0.3">
      <c r="A524" s="14">
        <v>7099</v>
      </c>
      <c r="B524" s="8" t="s">
        <v>96</v>
      </c>
      <c r="C524" s="15" t="s">
        <v>1443</v>
      </c>
      <c r="D524" s="16">
        <v>8806095661858</v>
      </c>
      <c r="E524" s="14" t="s">
        <v>1444</v>
      </c>
      <c r="F524" s="17" t="s">
        <v>1445</v>
      </c>
      <c r="G524" s="18">
        <v>3</v>
      </c>
      <c r="I524" s="18">
        <v>0</v>
      </c>
      <c r="J524" s="8" t="s">
        <v>100</v>
      </c>
      <c r="K524" s="14">
        <v>6899</v>
      </c>
      <c r="L524" s="14" t="s">
        <v>1286</v>
      </c>
      <c r="M524" s="20" t="s">
        <v>114</v>
      </c>
      <c r="N524" s="14" t="s">
        <v>649</v>
      </c>
      <c r="O524" s="12">
        <f t="shared" si="24"/>
        <v>10</v>
      </c>
      <c r="P524" t="str">
        <f t="shared" si="26"/>
        <v>SM-R530✦A</v>
      </c>
      <c r="Q524">
        <f t="shared" si="25"/>
        <v>3</v>
      </c>
      <c r="R524" s="21"/>
    </row>
    <row r="525" spans="1:18" x14ac:dyDescent="0.3">
      <c r="A525" s="14">
        <v>7098</v>
      </c>
      <c r="B525" s="8" t="s">
        <v>96</v>
      </c>
      <c r="C525" s="15" t="s">
        <v>1446</v>
      </c>
      <c r="D525" s="16">
        <v>8806095661780</v>
      </c>
      <c r="E525" s="14" t="s">
        <v>1447</v>
      </c>
      <c r="F525" s="17" t="s">
        <v>1448</v>
      </c>
      <c r="G525" s="18">
        <v>6</v>
      </c>
      <c r="I525" s="18">
        <v>0</v>
      </c>
      <c r="J525" s="8" t="s">
        <v>100</v>
      </c>
      <c r="K525" s="14">
        <v>6899</v>
      </c>
      <c r="L525" s="14" t="s">
        <v>1286</v>
      </c>
      <c r="M525" s="20" t="s">
        <v>114</v>
      </c>
      <c r="N525" s="14" t="s">
        <v>649</v>
      </c>
      <c r="O525" s="12">
        <f t="shared" si="24"/>
        <v>10</v>
      </c>
      <c r="P525" t="str">
        <f t="shared" si="26"/>
        <v>SM-R530✦A</v>
      </c>
      <c r="Q525">
        <f t="shared" si="25"/>
        <v>6</v>
      </c>
      <c r="R525" s="21"/>
    </row>
    <row r="526" spans="1:18" x14ac:dyDescent="0.3">
      <c r="A526" s="14">
        <v>7210</v>
      </c>
      <c r="B526" s="8" t="s">
        <v>96</v>
      </c>
      <c r="C526" s="15" t="s">
        <v>1449</v>
      </c>
      <c r="D526" s="16">
        <v>8809866508529</v>
      </c>
      <c r="E526" s="14" t="s">
        <v>1450</v>
      </c>
      <c r="F526" s="17" t="s">
        <v>1451</v>
      </c>
      <c r="G526" s="18">
        <v>2</v>
      </c>
      <c r="I526" s="18">
        <v>0</v>
      </c>
      <c r="J526" s="8" t="s">
        <v>100</v>
      </c>
      <c r="K526" s="14">
        <v>599</v>
      </c>
      <c r="L526" s="14" t="s">
        <v>686</v>
      </c>
      <c r="M526" s="20" t="s">
        <v>114</v>
      </c>
      <c r="N526" s="14" t="s">
        <v>234</v>
      </c>
      <c r="O526" s="12">
        <f t="shared" si="24"/>
        <v>10</v>
      </c>
      <c r="P526" t="str">
        <f t="shared" si="26"/>
        <v>GP-FPF731</v>
      </c>
      <c r="Q526">
        <f t="shared" si="25"/>
        <v>2</v>
      </c>
      <c r="R526" s="21"/>
    </row>
    <row r="527" spans="1:18" x14ac:dyDescent="0.3">
      <c r="A527" s="14">
        <v>6871</v>
      </c>
      <c r="B527" s="8" t="s">
        <v>96</v>
      </c>
      <c r="C527" s="15" t="s">
        <v>1452</v>
      </c>
      <c r="D527" s="16">
        <v>8806095365732</v>
      </c>
      <c r="E527" s="14" t="s">
        <v>1453</v>
      </c>
      <c r="F527" s="17" t="s">
        <v>1454</v>
      </c>
      <c r="G527" s="18">
        <v>1</v>
      </c>
      <c r="H527" s="19">
        <v>0</v>
      </c>
      <c r="I527" s="18">
        <v>0</v>
      </c>
      <c r="J527" s="8" t="s">
        <v>100</v>
      </c>
      <c r="K527" s="14">
        <v>2599</v>
      </c>
      <c r="L527" s="14" t="s">
        <v>686</v>
      </c>
      <c r="M527" s="20" t="s">
        <v>114</v>
      </c>
      <c r="N527" s="14" t="s">
        <v>234</v>
      </c>
      <c r="O527" s="12">
        <f t="shared" si="24"/>
        <v>10</v>
      </c>
      <c r="P527" t="str">
        <f t="shared" si="26"/>
        <v>EF-GS921C</v>
      </c>
      <c r="Q527">
        <f t="shared" si="25"/>
        <v>1</v>
      </c>
      <c r="R527" s="21"/>
    </row>
    <row r="528" spans="1:18" x14ac:dyDescent="0.3">
      <c r="A528" s="14">
        <v>7206</v>
      </c>
      <c r="B528" s="8" t="s">
        <v>96</v>
      </c>
      <c r="C528" s="15" t="s">
        <v>1455</v>
      </c>
      <c r="D528" s="16">
        <v>8806090144059</v>
      </c>
      <c r="E528" s="14" t="s">
        <v>1456</v>
      </c>
      <c r="F528" s="17" t="s">
        <v>1457</v>
      </c>
      <c r="G528" s="18">
        <v>20</v>
      </c>
      <c r="H528" s="19">
        <v>0</v>
      </c>
      <c r="I528" s="18">
        <v>0</v>
      </c>
      <c r="J528" s="8" t="s">
        <v>100</v>
      </c>
      <c r="K528" s="14">
        <v>1099</v>
      </c>
      <c r="L528" s="14" t="s">
        <v>686</v>
      </c>
      <c r="M528" s="20" t="s">
        <v>114</v>
      </c>
      <c r="N528" s="14" t="s">
        <v>234</v>
      </c>
      <c r="O528" s="12">
        <f t="shared" si="24"/>
        <v>10</v>
      </c>
      <c r="P528" t="str">
        <f t="shared" si="26"/>
        <v>EP-DN975B</v>
      </c>
      <c r="Q528">
        <f t="shared" si="25"/>
        <v>20</v>
      </c>
      <c r="R528" s="21"/>
    </row>
    <row r="529" spans="1:18" x14ac:dyDescent="0.3">
      <c r="A529" s="14">
        <v>6124</v>
      </c>
      <c r="B529" s="8" t="s">
        <v>96</v>
      </c>
      <c r="C529" s="15" t="s">
        <v>1458</v>
      </c>
      <c r="D529" s="16">
        <v>8806090144028</v>
      </c>
      <c r="E529" s="14" t="s">
        <v>1459</v>
      </c>
      <c r="F529" s="17" t="s">
        <v>1460</v>
      </c>
      <c r="G529" s="18">
        <v>17</v>
      </c>
      <c r="H529" s="19">
        <v>0</v>
      </c>
      <c r="I529" s="18">
        <v>0</v>
      </c>
      <c r="J529" s="8" t="s">
        <v>100</v>
      </c>
      <c r="K529" s="14">
        <v>1199</v>
      </c>
      <c r="L529" s="14" t="s">
        <v>686</v>
      </c>
      <c r="M529" s="20" t="s">
        <v>114</v>
      </c>
      <c r="N529" s="14" t="s">
        <v>234</v>
      </c>
      <c r="O529" s="12">
        <f t="shared" si="24"/>
        <v>10</v>
      </c>
      <c r="P529" t="str">
        <f t="shared" si="26"/>
        <v>EP-DN975B</v>
      </c>
      <c r="Q529">
        <f t="shared" si="25"/>
        <v>17</v>
      </c>
      <c r="R529" s="21"/>
    </row>
    <row r="530" spans="1:18" x14ac:dyDescent="0.3">
      <c r="A530" s="14">
        <v>7094</v>
      </c>
      <c r="B530" s="8" t="s">
        <v>96</v>
      </c>
      <c r="C530" s="15" t="s">
        <v>1461</v>
      </c>
      <c r="D530" s="16">
        <v>8806095620138</v>
      </c>
      <c r="E530" s="14" t="s">
        <v>1462</v>
      </c>
      <c r="F530" s="17" t="s">
        <v>1463</v>
      </c>
      <c r="G530" s="18">
        <v>1</v>
      </c>
      <c r="I530" s="18">
        <v>0</v>
      </c>
      <c r="J530" s="8" t="s">
        <v>100</v>
      </c>
      <c r="K530" s="14">
        <v>2599</v>
      </c>
      <c r="L530" s="14" t="s">
        <v>686</v>
      </c>
      <c r="M530" s="20" t="s">
        <v>114</v>
      </c>
      <c r="N530" s="14" t="s">
        <v>234</v>
      </c>
      <c r="O530" s="12">
        <f t="shared" si="24"/>
        <v>10</v>
      </c>
      <c r="P530" t="str">
        <f t="shared" si="26"/>
        <v>EF-PF741T</v>
      </c>
      <c r="Q530">
        <f t="shared" si="25"/>
        <v>1</v>
      </c>
      <c r="R530" s="21"/>
    </row>
    <row r="531" spans="1:18" x14ac:dyDescent="0.3">
      <c r="A531" s="14">
        <v>7450</v>
      </c>
      <c r="B531" s="8" t="s">
        <v>96</v>
      </c>
      <c r="C531" s="15" t="s">
        <v>1464</v>
      </c>
      <c r="D531" s="16">
        <v>8806097466536</v>
      </c>
      <c r="E531" s="14" t="s">
        <v>1465</v>
      </c>
      <c r="F531" s="17" t="s">
        <v>1466</v>
      </c>
      <c r="G531" s="18">
        <v>1</v>
      </c>
      <c r="I531" s="18">
        <v>0</v>
      </c>
      <c r="J531" s="8" t="s">
        <v>100</v>
      </c>
      <c r="K531" s="14">
        <v>2599</v>
      </c>
      <c r="L531" s="14" t="s">
        <v>686</v>
      </c>
      <c r="M531" s="20" t="s">
        <v>114</v>
      </c>
      <c r="N531" s="14" t="s">
        <v>234</v>
      </c>
      <c r="O531" s="12">
        <f t="shared" si="24"/>
        <v>10</v>
      </c>
      <c r="P531" t="str">
        <f t="shared" si="26"/>
        <v>EF-PF766T</v>
      </c>
      <c r="Q531">
        <f t="shared" si="25"/>
        <v>1</v>
      </c>
      <c r="R531" s="21"/>
    </row>
    <row r="532" spans="1:18" x14ac:dyDescent="0.3">
      <c r="A532" s="14">
        <v>7453</v>
      </c>
      <c r="B532" s="8" t="s">
        <v>96</v>
      </c>
      <c r="C532" s="15" t="s">
        <v>1467</v>
      </c>
      <c r="D532" s="16">
        <v>8806097469247</v>
      </c>
      <c r="E532" s="14" t="s">
        <v>1468</v>
      </c>
      <c r="F532" s="17" t="s">
        <v>1469</v>
      </c>
      <c r="G532" s="18">
        <v>2</v>
      </c>
      <c r="I532" s="18">
        <v>0</v>
      </c>
      <c r="J532" s="8" t="s">
        <v>100</v>
      </c>
      <c r="K532" s="14">
        <v>2999</v>
      </c>
      <c r="L532" s="14" t="s">
        <v>686</v>
      </c>
      <c r="M532" s="20" t="s">
        <v>114</v>
      </c>
      <c r="N532" s="14" t="s">
        <v>234</v>
      </c>
      <c r="O532" s="12">
        <f t="shared" si="24"/>
        <v>10</v>
      </c>
      <c r="P532" t="str">
        <f t="shared" si="26"/>
        <v>EF-AF966C</v>
      </c>
      <c r="Q532">
        <f t="shared" si="25"/>
        <v>2</v>
      </c>
      <c r="R532" s="21"/>
    </row>
    <row r="533" spans="1:18" x14ac:dyDescent="0.3">
      <c r="A533" s="14">
        <v>7251</v>
      </c>
      <c r="B533" s="8" t="s">
        <v>96</v>
      </c>
      <c r="C533" s="15" t="s">
        <v>1470</v>
      </c>
      <c r="E533" s="14" t="s">
        <v>1471</v>
      </c>
      <c r="F533" s="17" t="s">
        <v>1472</v>
      </c>
      <c r="G533" s="18">
        <v>24</v>
      </c>
      <c r="H533" s="19">
        <v>0</v>
      </c>
      <c r="I533" s="18">
        <v>0</v>
      </c>
      <c r="J533" s="8" t="s">
        <v>100</v>
      </c>
      <c r="K533" s="14">
        <v>300</v>
      </c>
      <c r="L533" s="14" t="s">
        <v>686</v>
      </c>
      <c r="M533" s="20" t="s">
        <v>222</v>
      </c>
      <c r="N533" s="14" t="s">
        <v>234</v>
      </c>
      <c r="O533" s="12">
        <f t="shared" si="24"/>
        <v>10</v>
      </c>
      <c r="P533" t="str">
        <f t="shared" si="26"/>
        <v>A06-EK</v>
      </c>
      <c r="Q533">
        <f t="shared" si="25"/>
        <v>24</v>
      </c>
      <c r="R533" s="21"/>
    </row>
    <row r="534" spans="1:18" x14ac:dyDescent="0.3">
      <c r="A534" s="14">
        <v>7403</v>
      </c>
      <c r="B534" s="8" t="s">
        <v>96</v>
      </c>
      <c r="C534" s="15" t="s">
        <v>1473</v>
      </c>
      <c r="E534" s="14" t="s">
        <v>1474</v>
      </c>
      <c r="F534" s="17" t="s">
        <v>1475</v>
      </c>
      <c r="G534" s="18">
        <v>17</v>
      </c>
      <c r="H534" s="19">
        <v>0</v>
      </c>
      <c r="I534" s="18">
        <v>0</v>
      </c>
      <c r="J534" s="8" t="s">
        <v>100</v>
      </c>
      <c r="K534" s="14">
        <v>379</v>
      </c>
      <c r="L534" s="14" t="s">
        <v>686</v>
      </c>
      <c r="M534" s="20" t="s">
        <v>222</v>
      </c>
      <c r="N534" s="14" t="s">
        <v>234</v>
      </c>
      <c r="O534" s="12">
        <f t="shared" si="24"/>
        <v>10</v>
      </c>
      <c r="P534" t="str">
        <f t="shared" si="26"/>
        <v>A06-K</v>
      </c>
      <c r="Q534">
        <f t="shared" si="25"/>
        <v>17</v>
      </c>
      <c r="R534" s="21"/>
    </row>
    <row r="535" spans="1:18" x14ac:dyDescent="0.3">
      <c r="A535" s="14">
        <v>7247</v>
      </c>
      <c r="B535" s="8" t="s">
        <v>96</v>
      </c>
      <c r="C535" s="15" t="s">
        <v>1476</v>
      </c>
      <c r="E535" s="14" t="s">
        <v>1477</v>
      </c>
      <c r="F535" s="17" t="s">
        <v>1478</v>
      </c>
      <c r="G535" s="18">
        <v>5</v>
      </c>
      <c r="H535" s="19">
        <v>0</v>
      </c>
      <c r="I535" s="18">
        <v>0</v>
      </c>
      <c r="J535" s="8" t="s">
        <v>100</v>
      </c>
      <c r="K535" s="14">
        <v>229</v>
      </c>
      <c r="L535" s="14" t="s">
        <v>686</v>
      </c>
      <c r="M535" s="20" t="s">
        <v>222</v>
      </c>
      <c r="N535" s="14" t="s">
        <v>234</v>
      </c>
      <c r="O535" s="12">
        <f t="shared" si="24"/>
        <v>10</v>
      </c>
      <c r="P535" t="str">
        <f t="shared" si="26"/>
        <v>A06-KS</v>
      </c>
      <c r="Q535">
        <f t="shared" si="25"/>
        <v>5</v>
      </c>
      <c r="R535" s="21"/>
    </row>
    <row r="536" spans="1:18" x14ac:dyDescent="0.3">
      <c r="A536" s="14">
        <v>7175</v>
      </c>
      <c r="B536" s="8" t="s">
        <v>96</v>
      </c>
      <c r="C536" s="15" t="s">
        <v>1479</v>
      </c>
      <c r="E536" s="14" t="s">
        <v>1480</v>
      </c>
      <c r="F536" s="17" t="s">
        <v>1481</v>
      </c>
      <c r="G536" s="18">
        <v>1</v>
      </c>
      <c r="H536" s="19">
        <v>0</v>
      </c>
      <c r="I536" s="18">
        <v>0</v>
      </c>
      <c r="J536" s="8" t="s">
        <v>100</v>
      </c>
      <c r="K536" s="14">
        <v>299</v>
      </c>
      <c r="L536" s="14" t="s">
        <v>686</v>
      </c>
      <c r="M536" s="20" t="s">
        <v>222</v>
      </c>
      <c r="N536" s="14" t="s">
        <v>234</v>
      </c>
      <c r="O536" s="12">
        <f t="shared" si="24"/>
        <v>10</v>
      </c>
      <c r="P536" t="str">
        <f t="shared" si="26"/>
        <v>A15-EKH</v>
      </c>
      <c r="Q536">
        <f t="shared" si="25"/>
        <v>1</v>
      </c>
      <c r="R536" s="21"/>
    </row>
    <row r="537" spans="1:18" x14ac:dyDescent="0.3">
      <c r="A537" s="14">
        <v>7168</v>
      </c>
      <c r="B537" s="8" t="s">
        <v>96</v>
      </c>
      <c r="C537" s="15" t="s">
        <v>1482</v>
      </c>
      <c r="E537" s="14" t="s">
        <v>1483</v>
      </c>
      <c r="F537" s="17" t="s">
        <v>1484</v>
      </c>
      <c r="G537" s="18">
        <v>1</v>
      </c>
      <c r="H537" s="19">
        <v>0</v>
      </c>
      <c r="I537" s="18">
        <v>0</v>
      </c>
      <c r="J537" s="8" t="s">
        <v>100</v>
      </c>
      <c r="K537" s="14">
        <v>299</v>
      </c>
      <c r="L537" s="14" t="s">
        <v>686</v>
      </c>
      <c r="M537" s="20" t="s">
        <v>222</v>
      </c>
      <c r="N537" s="14" t="s">
        <v>234</v>
      </c>
      <c r="O537" s="12">
        <f t="shared" si="24"/>
        <v>10</v>
      </c>
      <c r="P537" t="str">
        <f t="shared" si="26"/>
        <v>A15-EKN</v>
      </c>
      <c r="Q537">
        <f t="shared" si="25"/>
        <v>1</v>
      </c>
      <c r="R537" s="21"/>
    </row>
    <row r="538" spans="1:18" x14ac:dyDescent="0.3">
      <c r="A538" s="14">
        <v>7252</v>
      </c>
      <c r="B538" s="8" t="s">
        <v>96</v>
      </c>
      <c r="C538" s="15" t="s">
        <v>1485</v>
      </c>
      <c r="E538" s="14" t="s">
        <v>1486</v>
      </c>
      <c r="F538" s="17" t="s">
        <v>1487</v>
      </c>
      <c r="G538" s="18">
        <v>16</v>
      </c>
      <c r="H538" s="19">
        <v>0</v>
      </c>
      <c r="I538" s="18">
        <v>0</v>
      </c>
      <c r="J538" s="8" t="s">
        <v>100</v>
      </c>
      <c r="K538" s="14">
        <v>379</v>
      </c>
      <c r="L538" s="14" t="s">
        <v>686</v>
      </c>
      <c r="M538" s="20" t="s">
        <v>222</v>
      </c>
      <c r="N538" s="14" t="s">
        <v>234</v>
      </c>
      <c r="O538" s="12">
        <f t="shared" si="24"/>
        <v>10</v>
      </c>
      <c r="P538" t="str">
        <f t="shared" si="26"/>
        <v>A16-EK</v>
      </c>
      <c r="Q538">
        <f t="shared" si="25"/>
        <v>16</v>
      </c>
      <c r="R538" s="21"/>
    </row>
    <row r="539" spans="1:18" x14ac:dyDescent="0.3">
      <c r="A539" s="14">
        <v>7405</v>
      </c>
      <c r="B539" s="8" t="s">
        <v>96</v>
      </c>
      <c r="C539" s="15" t="s">
        <v>1488</v>
      </c>
      <c r="E539" s="14" t="s">
        <v>1489</v>
      </c>
      <c r="F539" s="17" t="s">
        <v>1490</v>
      </c>
      <c r="G539" s="18">
        <v>10</v>
      </c>
      <c r="H539" s="19">
        <v>0</v>
      </c>
      <c r="I539" s="18">
        <v>0</v>
      </c>
      <c r="J539" s="8" t="s">
        <v>100</v>
      </c>
      <c r="K539" s="14">
        <v>379</v>
      </c>
      <c r="L539" s="14" t="s">
        <v>686</v>
      </c>
      <c r="M539" s="20" t="s">
        <v>222</v>
      </c>
      <c r="N539" s="14" t="s">
        <v>234</v>
      </c>
      <c r="O539" s="12">
        <f t="shared" si="24"/>
        <v>10</v>
      </c>
      <c r="P539" t="str">
        <f t="shared" si="26"/>
        <v>A16-K</v>
      </c>
      <c r="Q539">
        <f t="shared" si="25"/>
        <v>10</v>
      </c>
      <c r="R539" s="21"/>
    </row>
    <row r="540" spans="1:18" x14ac:dyDescent="0.3">
      <c r="A540" s="14">
        <v>7248</v>
      </c>
      <c r="B540" s="8" t="s">
        <v>96</v>
      </c>
      <c r="C540" s="15" t="s">
        <v>1491</v>
      </c>
      <c r="E540" s="14" t="s">
        <v>1492</v>
      </c>
      <c r="F540" s="17" t="s">
        <v>1493</v>
      </c>
      <c r="G540" s="18">
        <v>2</v>
      </c>
      <c r="H540" s="19">
        <v>0</v>
      </c>
      <c r="I540" s="18">
        <v>0</v>
      </c>
      <c r="J540" s="8" t="s">
        <v>100</v>
      </c>
      <c r="K540" s="14">
        <v>229</v>
      </c>
      <c r="L540" s="14" t="s">
        <v>686</v>
      </c>
      <c r="M540" s="20" t="s">
        <v>222</v>
      </c>
      <c r="N540" s="14" t="s">
        <v>234</v>
      </c>
      <c r="O540" s="12">
        <f t="shared" si="24"/>
        <v>10</v>
      </c>
      <c r="P540" t="str">
        <f t="shared" si="26"/>
        <v>A16-KS</v>
      </c>
      <c r="Q540">
        <f t="shared" si="25"/>
        <v>2</v>
      </c>
      <c r="R540" s="21"/>
    </row>
    <row r="541" spans="1:18" x14ac:dyDescent="0.3">
      <c r="A541" s="14">
        <v>7165</v>
      </c>
      <c r="B541" s="8" t="s">
        <v>96</v>
      </c>
      <c r="C541" s="15" t="s">
        <v>1494</v>
      </c>
      <c r="E541" s="14" t="s">
        <v>1495</v>
      </c>
      <c r="F541" s="17" t="s">
        <v>1496</v>
      </c>
      <c r="G541" s="18">
        <v>1</v>
      </c>
      <c r="H541" s="19">
        <v>0</v>
      </c>
      <c r="I541" s="18">
        <v>0</v>
      </c>
      <c r="J541" s="8" t="s">
        <v>100</v>
      </c>
      <c r="K541" s="14">
        <v>229</v>
      </c>
      <c r="L541" s="14" t="s">
        <v>686</v>
      </c>
      <c r="M541" s="20" t="s">
        <v>222</v>
      </c>
      <c r="N541" s="14" t="s">
        <v>234</v>
      </c>
      <c r="O541" s="12">
        <f t="shared" si="24"/>
        <v>10</v>
      </c>
      <c r="P541" t="str">
        <f t="shared" si="26"/>
        <v>A25-KS</v>
      </c>
      <c r="Q541">
        <f t="shared" si="25"/>
        <v>1</v>
      </c>
      <c r="R541" s="21"/>
    </row>
    <row r="542" spans="1:18" x14ac:dyDescent="0.3">
      <c r="A542" s="14">
        <v>7406</v>
      </c>
      <c r="B542" s="8" t="s">
        <v>96</v>
      </c>
      <c r="C542" s="15" t="s">
        <v>1497</v>
      </c>
      <c r="E542" s="14" t="s">
        <v>1498</v>
      </c>
      <c r="F542" s="17" t="s">
        <v>1499</v>
      </c>
      <c r="G542" s="18">
        <v>19</v>
      </c>
      <c r="H542" s="19">
        <v>0</v>
      </c>
      <c r="I542" s="18">
        <v>0</v>
      </c>
      <c r="J542" s="8" t="s">
        <v>100</v>
      </c>
      <c r="K542" s="14">
        <v>379</v>
      </c>
      <c r="L542" s="14" t="s">
        <v>686</v>
      </c>
      <c r="M542" s="20" t="s">
        <v>222</v>
      </c>
      <c r="N542" s="14" t="s">
        <v>234</v>
      </c>
      <c r="O542" s="12">
        <f t="shared" si="24"/>
        <v>10</v>
      </c>
      <c r="P542" t="str">
        <f t="shared" si="26"/>
        <v>A26-EK</v>
      </c>
      <c r="Q542">
        <f t="shared" si="25"/>
        <v>19</v>
      </c>
      <c r="R542" s="21"/>
    </row>
    <row r="543" spans="1:18" x14ac:dyDescent="0.3">
      <c r="A543" s="14">
        <v>7408</v>
      </c>
      <c r="B543" s="8" t="s">
        <v>96</v>
      </c>
      <c r="C543" s="15" t="s">
        <v>1500</v>
      </c>
      <c r="E543" s="14" t="s">
        <v>1501</v>
      </c>
      <c r="F543" s="17" t="s">
        <v>1502</v>
      </c>
      <c r="G543" s="18">
        <v>14</v>
      </c>
      <c r="H543" s="19">
        <v>0</v>
      </c>
      <c r="I543" s="18">
        <v>0</v>
      </c>
      <c r="J543" s="8" t="s">
        <v>100</v>
      </c>
      <c r="K543" s="14">
        <v>379</v>
      </c>
      <c r="L543" s="14" t="s">
        <v>686</v>
      </c>
      <c r="M543" s="20" t="s">
        <v>222</v>
      </c>
      <c r="N543" s="14" t="s">
        <v>234</v>
      </c>
      <c r="O543" s="12">
        <f t="shared" si="24"/>
        <v>10</v>
      </c>
      <c r="P543" t="str">
        <f t="shared" si="26"/>
        <v>A26-K</v>
      </c>
      <c r="Q543">
        <f t="shared" si="25"/>
        <v>14</v>
      </c>
      <c r="R543" s="21"/>
    </row>
    <row r="544" spans="1:18" x14ac:dyDescent="0.3">
      <c r="A544" s="14">
        <v>7407</v>
      </c>
      <c r="B544" s="8" t="s">
        <v>96</v>
      </c>
      <c r="C544" s="15" t="s">
        <v>1503</v>
      </c>
      <c r="E544" s="14" t="s">
        <v>1504</v>
      </c>
      <c r="F544" s="17" t="s">
        <v>1505</v>
      </c>
      <c r="G544" s="18">
        <v>5</v>
      </c>
      <c r="H544" s="19">
        <v>0</v>
      </c>
      <c r="I544" s="18">
        <v>0</v>
      </c>
      <c r="J544" s="8" t="s">
        <v>100</v>
      </c>
      <c r="K544" s="14">
        <v>299</v>
      </c>
      <c r="L544" s="14" t="s">
        <v>686</v>
      </c>
      <c r="M544" s="20" t="s">
        <v>222</v>
      </c>
      <c r="N544" s="14" t="s">
        <v>234</v>
      </c>
      <c r="O544" s="12">
        <f t="shared" si="24"/>
        <v>10</v>
      </c>
      <c r="P544" t="str">
        <f t="shared" si="26"/>
        <v>A26-KS</v>
      </c>
      <c r="Q544">
        <f t="shared" si="25"/>
        <v>5</v>
      </c>
      <c r="R544" s="21"/>
    </row>
    <row r="545" spans="1:18" x14ac:dyDescent="0.3">
      <c r="A545" s="14">
        <v>7409</v>
      </c>
      <c r="B545" s="8" t="s">
        <v>96</v>
      </c>
      <c r="C545" s="15" t="s">
        <v>1506</v>
      </c>
      <c r="E545" s="14" t="s">
        <v>1507</v>
      </c>
      <c r="F545" s="17" t="s">
        <v>1508</v>
      </c>
      <c r="G545" s="18">
        <v>4</v>
      </c>
      <c r="H545" s="19">
        <v>0</v>
      </c>
      <c r="I545" s="18">
        <v>0</v>
      </c>
      <c r="J545" s="8" t="s">
        <v>100</v>
      </c>
      <c r="K545" s="14">
        <v>379</v>
      </c>
      <c r="L545" s="14" t="s">
        <v>686</v>
      </c>
      <c r="M545" s="20" t="s">
        <v>222</v>
      </c>
      <c r="N545" s="14" t="s">
        <v>234</v>
      </c>
      <c r="O545" s="12">
        <f t="shared" si="24"/>
        <v>10</v>
      </c>
      <c r="P545" t="str">
        <f t="shared" si="26"/>
        <v>A36-EK</v>
      </c>
      <c r="Q545">
        <f t="shared" si="25"/>
        <v>4</v>
      </c>
      <c r="R545" s="21"/>
    </row>
    <row r="546" spans="1:18" x14ac:dyDescent="0.3">
      <c r="A546" s="14">
        <v>7411</v>
      </c>
      <c r="B546" s="8" t="s">
        <v>96</v>
      </c>
      <c r="C546" s="15" t="s">
        <v>1509</v>
      </c>
      <c r="E546" s="14" t="s">
        <v>1510</v>
      </c>
      <c r="F546" s="17" t="s">
        <v>1511</v>
      </c>
      <c r="G546" s="18">
        <v>7</v>
      </c>
      <c r="H546" s="19">
        <v>0</v>
      </c>
      <c r="I546" s="18">
        <v>0</v>
      </c>
      <c r="J546" s="8" t="s">
        <v>100</v>
      </c>
      <c r="K546" s="14">
        <v>379</v>
      </c>
      <c r="L546" s="14" t="s">
        <v>686</v>
      </c>
      <c r="M546" s="20" t="s">
        <v>222</v>
      </c>
      <c r="N546" s="14" t="s">
        <v>234</v>
      </c>
      <c r="O546" s="12">
        <f t="shared" si="24"/>
        <v>10</v>
      </c>
      <c r="P546" t="str">
        <f t="shared" si="26"/>
        <v>A36-K</v>
      </c>
      <c r="Q546">
        <f t="shared" si="25"/>
        <v>7</v>
      </c>
      <c r="R546" s="21"/>
    </row>
    <row r="547" spans="1:18" x14ac:dyDescent="0.3">
      <c r="A547" s="14">
        <v>7410</v>
      </c>
      <c r="B547" s="8" t="s">
        <v>96</v>
      </c>
      <c r="C547" s="15" t="s">
        <v>1512</v>
      </c>
      <c r="E547" s="14" t="s">
        <v>1513</v>
      </c>
      <c r="F547" s="17" t="s">
        <v>1514</v>
      </c>
      <c r="G547" s="18">
        <v>1</v>
      </c>
      <c r="H547" s="19">
        <v>0</v>
      </c>
      <c r="I547" s="18">
        <v>0</v>
      </c>
      <c r="J547" s="8" t="s">
        <v>100</v>
      </c>
      <c r="K547" s="14">
        <v>299</v>
      </c>
      <c r="L547" s="14" t="s">
        <v>686</v>
      </c>
      <c r="M547" s="20" t="s">
        <v>222</v>
      </c>
      <c r="N547" s="14" t="s">
        <v>234</v>
      </c>
      <c r="O547" s="12">
        <f t="shared" si="24"/>
        <v>10</v>
      </c>
      <c r="P547" t="str">
        <f t="shared" si="26"/>
        <v>A36-KS</v>
      </c>
      <c r="Q547">
        <f t="shared" si="25"/>
        <v>1</v>
      </c>
      <c r="R547" s="21"/>
    </row>
    <row r="548" spans="1:18" x14ac:dyDescent="0.3">
      <c r="A548" s="14">
        <v>7171</v>
      </c>
      <c r="B548" s="8" t="s">
        <v>96</v>
      </c>
      <c r="C548" s="15" t="s">
        <v>1515</v>
      </c>
      <c r="E548" s="14" t="s">
        <v>1516</v>
      </c>
      <c r="F548" s="17" t="s">
        <v>1517</v>
      </c>
      <c r="G548" s="18">
        <v>4</v>
      </c>
      <c r="H548" s="19">
        <v>0</v>
      </c>
      <c r="I548" s="18">
        <v>0</v>
      </c>
      <c r="J548" s="8" t="s">
        <v>100</v>
      </c>
      <c r="K548" s="14">
        <v>299</v>
      </c>
      <c r="L548" s="14" t="s">
        <v>686</v>
      </c>
      <c r="M548" s="20" t="s">
        <v>222</v>
      </c>
      <c r="N548" s="14" t="s">
        <v>234</v>
      </c>
      <c r="O548" s="12">
        <f t="shared" si="24"/>
        <v>10</v>
      </c>
      <c r="P548" t="str">
        <f t="shared" si="26"/>
        <v>A55-EKN</v>
      </c>
      <c r="Q548">
        <f t="shared" si="25"/>
        <v>4</v>
      </c>
      <c r="R548" s="21"/>
    </row>
    <row r="549" spans="1:18" x14ac:dyDescent="0.3">
      <c r="A549" s="14">
        <v>7414</v>
      </c>
      <c r="B549" s="8" t="s">
        <v>96</v>
      </c>
      <c r="C549" s="15" t="s">
        <v>1518</v>
      </c>
      <c r="E549" s="14" t="s">
        <v>1519</v>
      </c>
      <c r="F549" s="17" t="s">
        <v>1520</v>
      </c>
      <c r="G549" s="18">
        <v>11</v>
      </c>
      <c r="H549" s="19">
        <v>0</v>
      </c>
      <c r="I549" s="18">
        <v>0</v>
      </c>
      <c r="J549" s="8" t="s">
        <v>100</v>
      </c>
      <c r="K549" s="14">
        <v>379</v>
      </c>
      <c r="L549" s="14" t="s">
        <v>686</v>
      </c>
      <c r="M549" s="20" t="s">
        <v>222</v>
      </c>
      <c r="N549" s="14" t="s">
        <v>234</v>
      </c>
      <c r="O549" s="12">
        <f t="shared" si="24"/>
        <v>10</v>
      </c>
      <c r="P549" t="str">
        <f t="shared" si="26"/>
        <v>A56-EK</v>
      </c>
      <c r="Q549">
        <f t="shared" si="25"/>
        <v>11</v>
      </c>
      <c r="R549" s="21"/>
    </row>
    <row r="550" spans="1:18" x14ac:dyDescent="0.3">
      <c r="A550" s="14">
        <v>7415</v>
      </c>
      <c r="B550" s="8" t="s">
        <v>96</v>
      </c>
      <c r="C550" s="15" t="s">
        <v>1521</v>
      </c>
      <c r="E550" s="14" t="s">
        <v>1522</v>
      </c>
      <c r="F550" s="17" t="s">
        <v>1523</v>
      </c>
      <c r="G550" s="18">
        <v>6</v>
      </c>
      <c r="H550" s="19">
        <v>0</v>
      </c>
      <c r="I550" s="18">
        <v>0</v>
      </c>
      <c r="J550" s="8" t="s">
        <v>100</v>
      </c>
      <c r="K550" s="14">
        <v>379</v>
      </c>
      <c r="L550" s="14" t="s">
        <v>686</v>
      </c>
      <c r="M550" s="20" t="s">
        <v>222</v>
      </c>
      <c r="N550" s="14" t="s">
        <v>234</v>
      </c>
      <c r="O550" s="12">
        <f t="shared" si="24"/>
        <v>10</v>
      </c>
      <c r="P550" t="str">
        <f t="shared" si="26"/>
        <v>A56-K</v>
      </c>
      <c r="Q550">
        <f t="shared" si="25"/>
        <v>6</v>
      </c>
      <c r="R550" s="21"/>
    </row>
    <row r="551" spans="1:18" x14ac:dyDescent="0.3">
      <c r="A551" s="14">
        <v>7161</v>
      </c>
      <c r="B551" s="8" t="s">
        <v>96</v>
      </c>
      <c r="C551" s="15" t="s">
        <v>1524</v>
      </c>
      <c r="E551" s="14" t="s">
        <v>1525</v>
      </c>
      <c r="F551" s="17" t="s">
        <v>1526</v>
      </c>
      <c r="G551" s="18">
        <v>1</v>
      </c>
      <c r="H551" s="19">
        <v>0</v>
      </c>
      <c r="I551" s="18">
        <v>0</v>
      </c>
      <c r="J551" s="8" t="s">
        <v>100</v>
      </c>
      <c r="K551" s="14">
        <v>299</v>
      </c>
      <c r="L551" s="14" t="s">
        <v>686</v>
      </c>
      <c r="M551" s="20" t="s">
        <v>222</v>
      </c>
      <c r="N551" s="14" t="s">
        <v>234</v>
      </c>
      <c r="O551" s="12">
        <f t="shared" si="24"/>
        <v>10</v>
      </c>
      <c r="P551" t="str">
        <f t="shared" si="26"/>
        <v>S24-K</v>
      </c>
      <c r="Q551">
        <f t="shared" si="25"/>
        <v>1</v>
      </c>
      <c r="R551" s="21"/>
    </row>
    <row r="552" spans="1:18" x14ac:dyDescent="0.3">
      <c r="A552" s="14">
        <v>7173</v>
      </c>
      <c r="B552" s="8" t="s">
        <v>96</v>
      </c>
      <c r="C552" s="15" t="s">
        <v>1527</v>
      </c>
      <c r="E552" s="14" t="s">
        <v>1528</v>
      </c>
      <c r="F552" s="17" t="s">
        <v>1529</v>
      </c>
      <c r="G552" s="18">
        <v>2</v>
      </c>
      <c r="H552" s="19">
        <v>0</v>
      </c>
      <c r="I552" s="18">
        <v>0</v>
      </c>
      <c r="J552" s="8" t="s">
        <v>100</v>
      </c>
      <c r="K552" s="14">
        <v>299</v>
      </c>
      <c r="L552" s="14" t="s">
        <v>686</v>
      </c>
      <c r="M552" s="20" t="s">
        <v>222</v>
      </c>
      <c r="N552" s="14" t="s">
        <v>234</v>
      </c>
      <c r="O552" s="12">
        <f t="shared" si="24"/>
        <v>10</v>
      </c>
      <c r="P552" t="str">
        <f t="shared" si="26"/>
        <v>S24+EKN</v>
      </c>
      <c r="Q552">
        <f t="shared" si="25"/>
        <v>2</v>
      </c>
      <c r="R552" s="21"/>
    </row>
    <row r="553" spans="1:18" x14ac:dyDescent="0.3">
      <c r="A553" s="14">
        <v>7162</v>
      </c>
      <c r="B553" s="8" t="s">
        <v>96</v>
      </c>
      <c r="C553" s="15" t="s">
        <v>1530</v>
      </c>
      <c r="E553" s="14" t="s">
        <v>1531</v>
      </c>
      <c r="F553" s="17" t="s">
        <v>1532</v>
      </c>
      <c r="G553" s="18">
        <v>2</v>
      </c>
      <c r="H553" s="19">
        <v>0</v>
      </c>
      <c r="I553" s="18">
        <v>0</v>
      </c>
      <c r="J553" s="8" t="s">
        <v>100</v>
      </c>
      <c r="K553" s="14">
        <v>379</v>
      </c>
      <c r="L553" s="14" t="s">
        <v>686</v>
      </c>
      <c r="M553" s="20" t="s">
        <v>222</v>
      </c>
      <c r="N553" s="14" t="s">
        <v>234</v>
      </c>
      <c r="O553" s="12">
        <f t="shared" si="24"/>
        <v>10</v>
      </c>
      <c r="P553" t="str">
        <f t="shared" si="26"/>
        <v>S24+K</v>
      </c>
      <c r="Q553">
        <f t="shared" si="25"/>
        <v>2</v>
      </c>
      <c r="R553" s="21"/>
    </row>
    <row r="554" spans="1:18" x14ac:dyDescent="0.3">
      <c r="A554" s="14">
        <v>7163</v>
      </c>
      <c r="B554" s="8" t="s">
        <v>96</v>
      </c>
      <c r="C554" s="15" t="s">
        <v>1533</v>
      </c>
      <c r="E554" s="14" t="s">
        <v>1534</v>
      </c>
      <c r="F554" s="17" t="s">
        <v>1535</v>
      </c>
      <c r="G554" s="18">
        <v>1</v>
      </c>
      <c r="H554" s="19">
        <v>0</v>
      </c>
      <c r="I554" s="18">
        <v>0</v>
      </c>
      <c r="J554" s="8" t="s">
        <v>100</v>
      </c>
      <c r="K554" s="14">
        <v>379</v>
      </c>
      <c r="L554" s="14" t="s">
        <v>686</v>
      </c>
      <c r="M554" s="20" t="s">
        <v>222</v>
      </c>
      <c r="N554" s="14" t="s">
        <v>234</v>
      </c>
      <c r="O554" s="12">
        <f t="shared" si="24"/>
        <v>10</v>
      </c>
      <c r="P554" t="str">
        <f t="shared" si="26"/>
        <v>S24U-K</v>
      </c>
      <c r="Q554">
        <f t="shared" si="25"/>
        <v>1</v>
      </c>
      <c r="R554" s="21"/>
    </row>
    <row r="555" spans="1:18" x14ac:dyDescent="0.3">
      <c r="A555" s="14">
        <v>7350</v>
      </c>
      <c r="B555" s="8" t="s">
        <v>96</v>
      </c>
      <c r="C555" s="15" t="s">
        <v>1536</v>
      </c>
      <c r="E555" s="14" t="s">
        <v>1537</v>
      </c>
      <c r="F555" s="17" t="s">
        <v>1538</v>
      </c>
      <c r="G555" s="18">
        <v>3</v>
      </c>
      <c r="H555" s="19">
        <v>0</v>
      </c>
      <c r="I555" s="18">
        <v>0</v>
      </c>
      <c r="J555" s="8" t="s">
        <v>100</v>
      </c>
      <c r="K555" s="14">
        <v>399</v>
      </c>
      <c r="L555" s="14" t="s">
        <v>686</v>
      </c>
      <c r="M555" s="20" t="s">
        <v>222</v>
      </c>
      <c r="N555" s="14" t="s">
        <v>234</v>
      </c>
      <c r="O555" s="12">
        <f t="shared" si="24"/>
        <v>10</v>
      </c>
      <c r="P555" t="str">
        <f t="shared" si="26"/>
        <v>S25-K</v>
      </c>
      <c r="Q555">
        <f t="shared" si="25"/>
        <v>3</v>
      </c>
      <c r="R555" s="21"/>
    </row>
    <row r="556" spans="1:18" x14ac:dyDescent="0.3">
      <c r="A556" s="14">
        <v>7418</v>
      </c>
      <c r="B556" s="8" t="s">
        <v>96</v>
      </c>
      <c r="C556" s="15" t="s">
        <v>1539</v>
      </c>
      <c r="E556" s="14" t="s">
        <v>1540</v>
      </c>
      <c r="F556" s="17" t="s">
        <v>1541</v>
      </c>
      <c r="G556" s="18">
        <v>1</v>
      </c>
      <c r="H556" s="19">
        <v>0</v>
      </c>
      <c r="I556" s="18">
        <v>0</v>
      </c>
      <c r="J556" s="8" t="s">
        <v>100</v>
      </c>
      <c r="K556" s="14">
        <v>379</v>
      </c>
      <c r="L556" s="14" t="s">
        <v>686</v>
      </c>
      <c r="M556" s="20" t="s">
        <v>222</v>
      </c>
      <c r="N556" s="14" t="s">
        <v>234</v>
      </c>
      <c r="O556" s="12">
        <f t="shared" si="24"/>
        <v>10</v>
      </c>
      <c r="P556" t="str">
        <f t="shared" si="26"/>
        <v>S25+EK</v>
      </c>
      <c r="Q556">
        <f t="shared" si="25"/>
        <v>1</v>
      </c>
      <c r="R556" s="21"/>
    </row>
    <row r="557" spans="1:18" x14ac:dyDescent="0.3">
      <c r="A557" s="14">
        <v>7417</v>
      </c>
      <c r="B557" s="8" t="s">
        <v>96</v>
      </c>
      <c r="C557" s="15" t="s">
        <v>1542</v>
      </c>
      <c r="E557" s="14" t="s">
        <v>1543</v>
      </c>
      <c r="F557" s="17" t="s">
        <v>1544</v>
      </c>
      <c r="G557" s="18">
        <v>2</v>
      </c>
      <c r="H557" s="19">
        <v>0</v>
      </c>
      <c r="I557" s="18">
        <v>0</v>
      </c>
      <c r="J557" s="8" t="s">
        <v>100</v>
      </c>
      <c r="K557" s="14">
        <v>379</v>
      </c>
      <c r="L557" s="14" t="s">
        <v>686</v>
      </c>
      <c r="M557" s="20" t="s">
        <v>222</v>
      </c>
      <c r="N557" s="14" t="s">
        <v>234</v>
      </c>
      <c r="O557" s="12">
        <f t="shared" si="24"/>
        <v>10</v>
      </c>
      <c r="P557" t="str">
        <f t="shared" si="26"/>
        <v>S25U-EK</v>
      </c>
      <c r="Q557">
        <f t="shared" si="25"/>
        <v>2</v>
      </c>
      <c r="R557" s="21"/>
    </row>
    <row r="558" spans="1:18" x14ac:dyDescent="0.3">
      <c r="A558" s="14">
        <v>6724</v>
      </c>
      <c r="B558" s="8" t="s">
        <v>96</v>
      </c>
      <c r="C558" s="15" t="s">
        <v>1545</v>
      </c>
      <c r="D558" s="16">
        <v>8806092696259</v>
      </c>
      <c r="E558" s="14" t="s">
        <v>1546</v>
      </c>
      <c r="F558" s="17" t="s">
        <v>1547</v>
      </c>
      <c r="G558" s="18">
        <v>3</v>
      </c>
      <c r="H558" s="19">
        <v>0</v>
      </c>
      <c r="I558" s="18">
        <v>0</v>
      </c>
      <c r="J558" s="8" t="s">
        <v>100</v>
      </c>
      <c r="K558" s="14">
        <v>799</v>
      </c>
      <c r="L558" s="14" t="s">
        <v>686</v>
      </c>
      <c r="M558" s="20" t="s">
        <v>114</v>
      </c>
      <c r="N558" s="14" t="s">
        <v>234</v>
      </c>
      <c r="O558" s="12">
        <f t="shared" si="24"/>
        <v>10</v>
      </c>
      <c r="P558" t="str">
        <f t="shared" si="26"/>
        <v>EP-T1510X</v>
      </c>
      <c r="Q558">
        <f t="shared" si="25"/>
        <v>3</v>
      </c>
      <c r="R558" s="21"/>
    </row>
    <row r="559" spans="1:18" x14ac:dyDescent="0.3">
      <c r="A559" s="14">
        <v>6570</v>
      </c>
      <c r="B559" s="8" t="s">
        <v>96</v>
      </c>
      <c r="C559" s="15" t="s">
        <v>1548</v>
      </c>
      <c r="D559" s="16">
        <v>8806092696211</v>
      </c>
      <c r="E559" s="14" t="s">
        <v>1549</v>
      </c>
      <c r="F559" s="17" t="s">
        <v>1550</v>
      </c>
      <c r="G559" s="18">
        <v>38</v>
      </c>
      <c r="I559" s="18">
        <v>0</v>
      </c>
      <c r="J559" s="8" t="s">
        <v>100</v>
      </c>
      <c r="K559" s="14">
        <v>799</v>
      </c>
      <c r="L559" s="14" t="s">
        <v>686</v>
      </c>
      <c r="M559" s="20" t="s">
        <v>114</v>
      </c>
      <c r="N559" s="14" t="s">
        <v>234</v>
      </c>
      <c r="O559" s="12">
        <f t="shared" si="24"/>
        <v>10</v>
      </c>
      <c r="P559" t="str">
        <f t="shared" si="26"/>
        <v>EP-T1510X</v>
      </c>
      <c r="Q559">
        <f t="shared" si="25"/>
        <v>38</v>
      </c>
      <c r="R559" s="21"/>
    </row>
    <row r="560" spans="1:18" x14ac:dyDescent="0.3">
      <c r="A560" s="14">
        <v>6687</v>
      </c>
      <c r="B560" s="8" t="s">
        <v>96</v>
      </c>
      <c r="C560" s="15" t="s">
        <v>1551</v>
      </c>
      <c r="D560" s="16">
        <v>8806094899511</v>
      </c>
      <c r="E560" s="14" t="s">
        <v>1552</v>
      </c>
      <c r="F560" s="17" t="s">
        <v>1553</v>
      </c>
      <c r="G560" s="18">
        <v>2</v>
      </c>
      <c r="I560" s="18">
        <v>0</v>
      </c>
      <c r="J560" s="8" t="s">
        <v>100</v>
      </c>
      <c r="K560" s="14">
        <v>999</v>
      </c>
      <c r="L560" s="14" t="s">
        <v>686</v>
      </c>
      <c r="M560" s="20" t="s">
        <v>114</v>
      </c>
      <c r="N560" s="14" t="s">
        <v>234</v>
      </c>
      <c r="O560" s="12">
        <f t="shared" si="24"/>
        <v>10</v>
      </c>
      <c r="P560" t="str">
        <f t="shared" si="26"/>
        <v>EP-T2510N</v>
      </c>
      <c r="Q560">
        <f t="shared" si="25"/>
        <v>2</v>
      </c>
      <c r="R560" s="21"/>
    </row>
    <row r="561" spans="1:18" x14ac:dyDescent="0.3">
      <c r="A561" s="14">
        <v>6456</v>
      </c>
      <c r="B561" s="8" t="s">
        <v>96</v>
      </c>
      <c r="C561" s="15" t="s">
        <v>1554</v>
      </c>
      <c r="D561" s="16">
        <v>8806092669987</v>
      </c>
      <c r="E561" s="14" t="s">
        <v>1555</v>
      </c>
      <c r="F561" s="17" t="s">
        <v>1556</v>
      </c>
      <c r="G561" s="18">
        <v>107</v>
      </c>
      <c r="H561" s="19">
        <v>0</v>
      </c>
      <c r="I561" s="18">
        <v>0</v>
      </c>
      <c r="J561" s="8" t="s">
        <v>100</v>
      </c>
      <c r="K561" s="14">
        <v>2599</v>
      </c>
      <c r="L561" s="14" t="s">
        <v>686</v>
      </c>
      <c r="M561" s="20" t="s">
        <v>114</v>
      </c>
      <c r="N561" s="14" t="s">
        <v>234</v>
      </c>
      <c r="O561" s="12">
        <f t="shared" si="24"/>
        <v>10</v>
      </c>
      <c r="P561" t="str">
        <f t="shared" si="26"/>
        <v>EP-T6530N</v>
      </c>
      <c r="Q561">
        <f t="shared" si="25"/>
        <v>107</v>
      </c>
      <c r="R561" s="21"/>
    </row>
    <row r="562" spans="1:18" x14ac:dyDescent="0.3">
      <c r="A562" s="14">
        <v>6461</v>
      </c>
      <c r="B562" s="8" t="s">
        <v>96</v>
      </c>
      <c r="C562" s="15" t="s">
        <v>1557</v>
      </c>
      <c r="D562" s="16">
        <v>8806094000764</v>
      </c>
      <c r="E562" s="14" t="s">
        <v>1558</v>
      </c>
      <c r="F562" s="17" t="s">
        <v>1559</v>
      </c>
      <c r="G562" s="18">
        <v>2</v>
      </c>
      <c r="I562" s="18">
        <v>0</v>
      </c>
      <c r="J562" s="8" t="s">
        <v>100</v>
      </c>
      <c r="K562" s="14">
        <v>1099</v>
      </c>
      <c r="L562" s="14" t="s">
        <v>686</v>
      </c>
      <c r="M562" s="20" t="s">
        <v>114</v>
      </c>
      <c r="N562" s="14" t="s">
        <v>234</v>
      </c>
      <c r="O562" s="12">
        <f t="shared" si="24"/>
        <v>10</v>
      </c>
      <c r="P562" t="str">
        <f t="shared" si="26"/>
        <v>EP-L4020N</v>
      </c>
      <c r="Q562">
        <f t="shared" si="25"/>
        <v>2</v>
      </c>
      <c r="R562" s="21"/>
    </row>
    <row r="563" spans="1:18" x14ac:dyDescent="0.3">
      <c r="A563" s="14">
        <v>7048</v>
      </c>
      <c r="B563" s="8" t="s">
        <v>96</v>
      </c>
      <c r="C563" s="15" t="s">
        <v>1560</v>
      </c>
      <c r="D563" s="16">
        <v>8806095471761</v>
      </c>
      <c r="E563" s="14" t="s">
        <v>1561</v>
      </c>
      <c r="F563" s="17" t="s">
        <v>1562</v>
      </c>
      <c r="G563" s="18">
        <v>1</v>
      </c>
      <c r="H563" s="19">
        <v>0</v>
      </c>
      <c r="I563" s="18">
        <v>0</v>
      </c>
      <c r="J563" s="8" t="s">
        <v>100</v>
      </c>
      <c r="K563" s="14">
        <v>3699</v>
      </c>
      <c r="L563" s="14" t="s">
        <v>686</v>
      </c>
      <c r="M563" s="20" t="s">
        <v>114</v>
      </c>
      <c r="N563" s="14" t="s">
        <v>234</v>
      </c>
      <c r="O563" s="12">
        <f t="shared" si="24"/>
        <v>10</v>
      </c>
      <c r="P563" t="str">
        <f t="shared" si="26"/>
        <v>EP-T4511X</v>
      </c>
      <c r="Q563">
        <f t="shared" si="25"/>
        <v>1</v>
      </c>
      <c r="R563" s="21"/>
    </row>
    <row r="564" spans="1:18" x14ac:dyDescent="0.3">
      <c r="A564" s="14">
        <v>2522</v>
      </c>
      <c r="B564" s="8" t="s">
        <v>96</v>
      </c>
      <c r="C564" s="15" t="s">
        <v>1563</v>
      </c>
      <c r="D564" s="16">
        <v>8806071745985</v>
      </c>
      <c r="E564" s="14" t="s">
        <v>1564</v>
      </c>
      <c r="F564" s="17" t="s">
        <v>1565</v>
      </c>
      <c r="G564" s="18">
        <v>9</v>
      </c>
      <c r="H564" s="19">
        <v>0</v>
      </c>
      <c r="I564" s="18">
        <v>0</v>
      </c>
      <c r="J564" s="8" t="s">
        <v>100</v>
      </c>
      <c r="K564" s="14">
        <v>249</v>
      </c>
      <c r="L564" s="14" t="s">
        <v>686</v>
      </c>
      <c r="M564" s="20" t="s">
        <v>114</v>
      </c>
      <c r="N564" s="14" t="s">
        <v>234</v>
      </c>
      <c r="O564" s="12">
        <f t="shared" si="24"/>
        <v>10</v>
      </c>
      <c r="P564" t="str">
        <f t="shared" si="26"/>
        <v>ECA-U16CB</v>
      </c>
      <c r="Q564">
        <f t="shared" si="25"/>
        <v>9</v>
      </c>
      <c r="R564" s="21"/>
    </row>
    <row r="565" spans="1:18" x14ac:dyDescent="0.3">
      <c r="A565" s="14">
        <v>6997</v>
      </c>
      <c r="B565" s="8" t="s">
        <v>96</v>
      </c>
      <c r="C565" s="15">
        <v>20292603</v>
      </c>
      <c r="D565" s="16">
        <v>8698902926034</v>
      </c>
      <c r="E565" s="14" t="s">
        <v>1566</v>
      </c>
      <c r="F565" s="17" t="s">
        <v>1567</v>
      </c>
      <c r="G565" s="18">
        <v>5</v>
      </c>
      <c r="I565" s="18">
        <v>0</v>
      </c>
      <c r="J565" s="8" t="s">
        <v>100</v>
      </c>
      <c r="K565" s="14">
        <v>2399</v>
      </c>
      <c r="L565" s="14" t="s">
        <v>1286</v>
      </c>
      <c r="M565" s="20" t="s">
        <v>237</v>
      </c>
      <c r="N565" s="14" t="s">
        <v>649</v>
      </c>
      <c r="O565" s="12">
        <f t="shared" si="24"/>
        <v>10</v>
      </c>
      <c r="P565" t="str">
        <f t="shared" si="26"/>
        <v>20292603</v>
      </c>
      <c r="Q565">
        <f t="shared" si="25"/>
        <v>5</v>
      </c>
      <c r="R565" s="21"/>
    </row>
    <row r="566" spans="1:18" x14ac:dyDescent="0.3">
      <c r="A566" s="14">
        <v>6998</v>
      </c>
      <c r="B566" s="8" t="s">
        <v>96</v>
      </c>
      <c r="C566" s="15">
        <v>20292607</v>
      </c>
      <c r="D566" s="16">
        <v>8698902926072</v>
      </c>
      <c r="E566" s="14" t="s">
        <v>1568</v>
      </c>
      <c r="F566" s="17" t="s">
        <v>1569</v>
      </c>
      <c r="G566" s="18">
        <v>5</v>
      </c>
      <c r="H566" s="19">
        <v>0</v>
      </c>
      <c r="I566" s="18">
        <v>0</v>
      </c>
      <c r="J566" s="8" t="s">
        <v>100</v>
      </c>
      <c r="K566" s="14">
        <v>399</v>
      </c>
      <c r="L566" s="14" t="s">
        <v>1286</v>
      </c>
      <c r="M566" s="20" t="s">
        <v>237</v>
      </c>
      <c r="N566" s="14" t="s">
        <v>649</v>
      </c>
      <c r="O566" s="12">
        <f t="shared" si="24"/>
        <v>10</v>
      </c>
      <c r="P566" t="str">
        <f t="shared" si="26"/>
        <v>20292607</v>
      </c>
      <c r="Q566">
        <f t="shared" si="25"/>
        <v>5</v>
      </c>
      <c r="R566" s="21"/>
    </row>
    <row r="567" spans="1:18" x14ac:dyDescent="0.3">
      <c r="A567" s="14">
        <v>6759</v>
      </c>
      <c r="B567" s="8" t="s">
        <v>96</v>
      </c>
      <c r="C567" s="15">
        <v>20277365</v>
      </c>
      <c r="D567" s="16">
        <v>8698902773652</v>
      </c>
      <c r="E567" s="14" t="s">
        <v>1570</v>
      </c>
      <c r="F567" s="17" t="s">
        <v>1571</v>
      </c>
      <c r="G567" s="18">
        <v>2</v>
      </c>
      <c r="I567" s="18">
        <v>0</v>
      </c>
      <c r="J567" s="8" t="s">
        <v>100</v>
      </c>
      <c r="K567" s="14">
        <v>1549</v>
      </c>
      <c r="L567" s="14" t="s">
        <v>686</v>
      </c>
      <c r="M567" s="20" t="s">
        <v>237</v>
      </c>
      <c r="N567" s="14" t="s">
        <v>649</v>
      </c>
      <c r="O567" s="12">
        <f t="shared" si="24"/>
        <v>10</v>
      </c>
      <c r="P567" t="str">
        <f t="shared" si="26"/>
        <v>20277365</v>
      </c>
      <c r="Q567">
        <f t="shared" si="25"/>
        <v>2</v>
      </c>
      <c r="R567" s="21"/>
    </row>
    <row r="568" spans="1:18" x14ac:dyDescent="0.3">
      <c r="A568" s="14">
        <v>7400</v>
      </c>
      <c r="B568" s="8" t="s">
        <v>96</v>
      </c>
      <c r="C568" s="15" t="s">
        <v>1572</v>
      </c>
      <c r="D568" s="16">
        <v>8720389069383</v>
      </c>
      <c r="E568" s="14" t="s">
        <v>1573</v>
      </c>
      <c r="F568" s="17" t="s">
        <v>1574</v>
      </c>
      <c r="G568" s="18">
        <v>4</v>
      </c>
      <c r="H568" s="19">
        <v>0</v>
      </c>
      <c r="I568" s="18">
        <v>1</v>
      </c>
      <c r="J568" s="8" t="s">
        <v>100</v>
      </c>
      <c r="K568" s="14">
        <v>8049</v>
      </c>
      <c r="L568" s="14" t="s">
        <v>693</v>
      </c>
      <c r="M568" s="20" t="s">
        <v>102</v>
      </c>
      <c r="N568" s="14" t="s">
        <v>103</v>
      </c>
      <c r="O568" s="12">
        <f t="shared" si="24"/>
        <v>10</v>
      </c>
      <c r="P568" t="str">
        <f t="shared" si="26"/>
        <v>HD6301/90</v>
      </c>
      <c r="Q568">
        <f t="shared" si="25"/>
        <v>4</v>
      </c>
      <c r="R568" s="21"/>
    </row>
    <row r="569" spans="1:18" x14ac:dyDescent="0.3">
      <c r="A569" s="14">
        <v>7197</v>
      </c>
      <c r="B569" s="8" t="s">
        <v>96</v>
      </c>
      <c r="C569" s="15">
        <v>20265521</v>
      </c>
      <c r="E569" s="14" t="s">
        <v>1575</v>
      </c>
      <c r="F569" s="17" t="s">
        <v>1576</v>
      </c>
      <c r="G569" s="18">
        <v>1</v>
      </c>
      <c r="I569" s="18">
        <v>0</v>
      </c>
      <c r="J569" s="8" t="s">
        <v>100</v>
      </c>
      <c r="K569" s="14">
        <v>6049</v>
      </c>
      <c r="L569" s="14" t="s">
        <v>1577</v>
      </c>
      <c r="M569" s="20" t="s">
        <v>237</v>
      </c>
      <c r="N569" s="14" t="s">
        <v>103</v>
      </c>
      <c r="O569" s="12">
        <f t="shared" si="24"/>
        <v>10</v>
      </c>
      <c r="P569" t="str">
        <f t="shared" si="26"/>
        <v>20265521</v>
      </c>
      <c r="Q569">
        <f t="shared" si="25"/>
        <v>1</v>
      </c>
      <c r="R569" s="21"/>
    </row>
    <row r="570" spans="1:18" x14ac:dyDescent="0.3">
      <c r="A570" s="14">
        <v>7198</v>
      </c>
      <c r="B570" s="8" t="s">
        <v>96</v>
      </c>
      <c r="C570" s="15">
        <v>20265520</v>
      </c>
      <c r="D570" s="16">
        <v>8698902655200</v>
      </c>
      <c r="E570" s="14" t="s">
        <v>1578</v>
      </c>
      <c r="F570" s="17" t="s">
        <v>1579</v>
      </c>
      <c r="G570" s="18">
        <v>1</v>
      </c>
      <c r="I570" s="18">
        <v>0</v>
      </c>
      <c r="J570" s="8" t="s">
        <v>100</v>
      </c>
      <c r="K570" s="14">
        <v>6049</v>
      </c>
      <c r="L570" s="14" t="s">
        <v>1577</v>
      </c>
      <c r="M570" s="20" t="s">
        <v>237</v>
      </c>
      <c r="N570" s="14" t="s">
        <v>103</v>
      </c>
      <c r="O570" s="12">
        <f t="shared" si="24"/>
        <v>10</v>
      </c>
      <c r="P570" t="str">
        <f t="shared" si="26"/>
        <v>20265520</v>
      </c>
      <c r="Q570">
        <f t="shared" si="25"/>
        <v>1</v>
      </c>
      <c r="R570" s="21"/>
    </row>
    <row r="571" spans="1:18" x14ac:dyDescent="0.3">
      <c r="A571" s="14">
        <v>7196</v>
      </c>
      <c r="B571" s="8" t="s">
        <v>96</v>
      </c>
      <c r="C571" s="15">
        <v>20268746</v>
      </c>
      <c r="D571" s="16">
        <v>8698902687461</v>
      </c>
      <c r="E571" s="14" t="s">
        <v>1580</v>
      </c>
      <c r="F571" s="17" t="s">
        <v>1581</v>
      </c>
      <c r="G571" s="18">
        <v>1</v>
      </c>
      <c r="H571" s="19">
        <v>0</v>
      </c>
      <c r="I571" s="18">
        <v>0</v>
      </c>
      <c r="J571" s="8" t="s">
        <v>100</v>
      </c>
      <c r="K571" s="14">
        <v>6049</v>
      </c>
      <c r="L571" s="14" t="s">
        <v>1577</v>
      </c>
      <c r="M571" s="20" t="s">
        <v>237</v>
      </c>
      <c r="N571" s="14" t="s">
        <v>103</v>
      </c>
      <c r="O571" s="12">
        <f t="shared" si="24"/>
        <v>10</v>
      </c>
      <c r="P571" t="str">
        <f t="shared" si="26"/>
        <v>20268746</v>
      </c>
      <c r="Q571">
        <f t="shared" si="25"/>
        <v>1</v>
      </c>
      <c r="R571" s="21"/>
    </row>
    <row r="572" spans="1:18" x14ac:dyDescent="0.3">
      <c r="A572" s="14">
        <v>6946</v>
      </c>
      <c r="B572" s="8" t="s">
        <v>96</v>
      </c>
      <c r="C572" s="15">
        <v>20265575</v>
      </c>
      <c r="D572" s="16">
        <v>8698902655750</v>
      </c>
      <c r="E572" s="14" t="s">
        <v>1582</v>
      </c>
      <c r="F572" s="17" t="s">
        <v>1583</v>
      </c>
      <c r="G572" s="18">
        <v>1</v>
      </c>
      <c r="H572" s="19">
        <v>0</v>
      </c>
      <c r="I572" s="18">
        <v>0</v>
      </c>
      <c r="J572" s="8" t="s">
        <v>100</v>
      </c>
      <c r="K572" s="14">
        <v>5749</v>
      </c>
      <c r="L572" s="14" t="s">
        <v>1577</v>
      </c>
      <c r="M572" s="20" t="s">
        <v>237</v>
      </c>
      <c r="N572" s="14" t="s">
        <v>103</v>
      </c>
      <c r="O572" s="12">
        <f t="shared" si="24"/>
        <v>10</v>
      </c>
      <c r="P572" t="str">
        <f t="shared" si="26"/>
        <v>20265575</v>
      </c>
      <c r="Q572">
        <f t="shared" si="25"/>
        <v>1</v>
      </c>
      <c r="R572" s="21"/>
    </row>
    <row r="573" spans="1:18" x14ac:dyDescent="0.3">
      <c r="A573" s="14">
        <v>6255</v>
      </c>
      <c r="B573" s="8" t="s">
        <v>96</v>
      </c>
      <c r="C573" s="15">
        <v>20244504</v>
      </c>
      <c r="D573" s="16">
        <v>8698902445047</v>
      </c>
      <c r="E573" s="14" t="s">
        <v>1584</v>
      </c>
      <c r="F573" s="17" t="s">
        <v>1585</v>
      </c>
      <c r="G573" s="18">
        <v>5</v>
      </c>
      <c r="H573" s="19">
        <v>0</v>
      </c>
      <c r="I573" s="18">
        <v>1</v>
      </c>
      <c r="J573" s="8" t="s">
        <v>100</v>
      </c>
      <c r="K573" s="14">
        <v>5749</v>
      </c>
      <c r="L573" s="14" t="s">
        <v>1577</v>
      </c>
      <c r="M573" s="20" t="s">
        <v>237</v>
      </c>
      <c r="N573" s="14" t="s">
        <v>103</v>
      </c>
      <c r="O573" s="12">
        <f t="shared" si="24"/>
        <v>10</v>
      </c>
      <c r="P573" t="str">
        <f t="shared" si="26"/>
        <v>20244504</v>
      </c>
      <c r="Q573">
        <f t="shared" si="25"/>
        <v>5</v>
      </c>
      <c r="R573" s="21"/>
    </row>
    <row r="574" spans="1:18" x14ac:dyDescent="0.3">
      <c r="A574" s="14">
        <v>5627</v>
      </c>
      <c r="B574" s="8" t="s">
        <v>96</v>
      </c>
      <c r="C574" s="15">
        <v>20242949</v>
      </c>
      <c r="D574" s="16">
        <v>8698902429498</v>
      </c>
      <c r="E574" s="14" t="s">
        <v>1586</v>
      </c>
      <c r="F574" s="17" t="s">
        <v>1587</v>
      </c>
      <c r="G574" s="18">
        <v>1</v>
      </c>
      <c r="H574" s="19">
        <v>0</v>
      </c>
      <c r="I574" s="18">
        <v>0</v>
      </c>
      <c r="J574" s="8" t="s">
        <v>100</v>
      </c>
      <c r="K574" s="14">
        <v>3349</v>
      </c>
      <c r="L574" s="14" t="s">
        <v>1577</v>
      </c>
      <c r="M574" s="20" t="s">
        <v>237</v>
      </c>
      <c r="N574" s="14" t="s">
        <v>103</v>
      </c>
      <c r="O574" s="12">
        <f t="shared" si="24"/>
        <v>10</v>
      </c>
      <c r="P574" t="str">
        <f t="shared" si="26"/>
        <v>20242949</v>
      </c>
      <c r="Q574">
        <f t="shared" si="25"/>
        <v>1</v>
      </c>
      <c r="R574" s="21"/>
    </row>
    <row r="575" spans="1:18" x14ac:dyDescent="0.3">
      <c r="A575" s="14">
        <v>5854</v>
      </c>
      <c r="B575" s="8" t="s">
        <v>96</v>
      </c>
      <c r="C575" s="15">
        <v>20244299</v>
      </c>
      <c r="D575" s="16">
        <v>8698902442992</v>
      </c>
      <c r="E575" s="14" t="s">
        <v>1588</v>
      </c>
      <c r="F575" s="17" t="s">
        <v>1589</v>
      </c>
      <c r="G575" s="18">
        <v>1</v>
      </c>
      <c r="H575" s="19">
        <v>0</v>
      </c>
      <c r="I575" s="18">
        <v>0</v>
      </c>
      <c r="J575" s="8" t="s">
        <v>100</v>
      </c>
      <c r="K575" s="14">
        <v>4999</v>
      </c>
      <c r="L575" s="14" t="s">
        <v>1577</v>
      </c>
      <c r="M575" s="20" t="s">
        <v>237</v>
      </c>
      <c r="N575" s="14" t="s">
        <v>103</v>
      </c>
      <c r="O575" s="12">
        <f t="shared" si="24"/>
        <v>10</v>
      </c>
      <c r="P575" t="str">
        <f t="shared" si="26"/>
        <v>20244299</v>
      </c>
      <c r="Q575">
        <f t="shared" si="25"/>
        <v>1</v>
      </c>
      <c r="R575" s="21"/>
    </row>
    <row r="576" spans="1:18" x14ac:dyDescent="0.3">
      <c r="A576" s="14">
        <v>7199</v>
      </c>
      <c r="B576" s="8" t="s">
        <v>96</v>
      </c>
      <c r="C576" s="15">
        <v>20268747</v>
      </c>
      <c r="D576" s="16">
        <v>8698902687478</v>
      </c>
      <c r="E576" s="14" t="s">
        <v>1590</v>
      </c>
      <c r="F576" s="17" t="s">
        <v>1591</v>
      </c>
      <c r="G576" s="18">
        <v>1</v>
      </c>
      <c r="H576" s="19">
        <v>0</v>
      </c>
      <c r="I576" s="18">
        <v>0</v>
      </c>
      <c r="J576" s="8" t="s">
        <v>100</v>
      </c>
      <c r="K576" s="14">
        <v>6049</v>
      </c>
      <c r="L576" s="14" t="s">
        <v>1577</v>
      </c>
      <c r="M576" s="20" t="s">
        <v>237</v>
      </c>
      <c r="N576" s="14" t="s">
        <v>103</v>
      </c>
      <c r="O576" s="12">
        <f t="shared" si="24"/>
        <v>10</v>
      </c>
      <c r="P576" t="str">
        <f t="shared" si="26"/>
        <v>20268747</v>
      </c>
      <c r="Q576">
        <f t="shared" si="25"/>
        <v>1</v>
      </c>
      <c r="R576" s="21"/>
    </row>
    <row r="577" spans="1:18" x14ac:dyDescent="0.3">
      <c r="A577" s="14">
        <v>6253</v>
      </c>
      <c r="B577" s="8" t="s">
        <v>96</v>
      </c>
      <c r="C577" s="15">
        <v>20244503</v>
      </c>
      <c r="D577" s="16">
        <v>8698902445030</v>
      </c>
      <c r="E577" s="14" t="s">
        <v>1592</v>
      </c>
      <c r="F577" s="17" t="s">
        <v>1593</v>
      </c>
      <c r="G577" s="18">
        <v>4</v>
      </c>
      <c r="H577" s="19">
        <v>0</v>
      </c>
      <c r="I577" s="18">
        <v>0</v>
      </c>
      <c r="J577" s="8" t="s">
        <v>100</v>
      </c>
      <c r="K577" s="14">
        <v>5749</v>
      </c>
      <c r="L577" s="14" t="s">
        <v>1577</v>
      </c>
      <c r="M577" s="20" t="s">
        <v>237</v>
      </c>
      <c r="N577" s="14" t="s">
        <v>103</v>
      </c>
      <c r="O577" s="12">
        <f t="shared" si="24"/>
        <v>10</v>
      </c>
      <c r="P577" t="str">
        <f t="shared" si="26"/>
        <v>20244503</v>
      </c>
      <c r="Q577">
        <f t="shared" si="25"/>
        <v>4</v>
      </c>
      <c r="R577" s="21"/>
    </row>
    <row r="578" spans="1:18" x14ac:dyDescent="0.3">
      <c r="A578" s="14">
        <v>6745</v>
      </c>
      <c r="B578" s="8" t="s">
        <v>96</v>
      </c>
      <c r="C578" s="15">
        <v>20277957</v>
      </c>
      <c r="D578" s="16">
        <v>8698902779579</v>
      </c>
      <c r="E578" s="14" t="s">
        <v>1594</v>
      </c>
      <c r="F578" s="17" t="s">
        <v>1595</v>
      </c>
      <c r="G578" s="18">
        <v>14</v>
      </c>
      <c r="H578" s="19">
        <v>0</v>
      </c>
      <c r="I578" s="18">
        <v>0</v>
      </c>
      <c r="J578" s="8" t="s">
        <v>100</v>
      </c>
      <c r="K578" s="14">
        <v>29699</v>
      </c>
      <c r="L578" s="14" t="s">
        <v>229</v>
      </c>
      <c r="M578" s="20" t="s">
        <v>237</v>
      </c>
      <c r="N578" s="14" t="s">
        <v>230</v>
      </c>
      <c r="O578" s="12">
        <f t="shared" si="24"/>
        <v>10</v>
      </c>
      <c r="P578" t="str">
        <f t="shared" si="26"/>
        <v>20277957</v>
      </c>
      <c r="Q578">
        <f t="shared" si="25"/>
        <v>14</v>
      </c>
      <c r="R578" s="21"/>
    </row>
    <row r="579" spans="1:18" x14ac:dyDescent="0.3">
      <c r="A579" s="14">
        <v>7229</v>
      </c>
      <c r="B579" s="8" t="s">
        <v>96</v>
      </c>
      <c r="C579" s="15">
        <v>20278794</v>
      </c>
      <c r="D579" s="16">
        <v>8698902787949</v>
      </c>
      <c r="E579" s="14" t="s">
        <v>1596</v>
      </c>
      <c r="F579" s="17" t="s">
        <v>1597</v>
      </c>
      <c r="G579" s="18">
        <v>4</v>
      </c>
      <c r="I579" s="18">
        <v>0</v>
      </c>
      <c r="J579" s="8" t="s">
        <v>100</v>
      </c>
      <c r="K579" s="14">
        <v>29599</v>
      </c>
      <c r="L579" s="14" t="s">
        <v>229</v>
      </c>
      <c r="M579" s="20" t="s">
        <v>237</v>
      </c>
      <c r="N579" s="14" t="s">
        <v>230</v>
      </c>
      <c r="O579" s="12">
        <f t="shared" ref="O579:O642" si="27">IF(C579&gt;0,10-COUNTIF(AM579:AW579,"-"),"")</f>
        <v>10</v>
      </c>
      <c r="P579" t="str">
        <f t="shared" si="26"/>
        <v>20278794</v>
      </c>
      <c r="Q579">
        <f t="shared" ref="Q579:Q642" si="28">G579-H579</f>
        <v>4</v>
      </c>
      <c r="R579" s="21"/>
    </row>
    <row r="580" spans="1:18" x14ac:dyDescent="0.3">
      <c r="A580" s="14">
        <v>7230</v>
      </c>
      <c r="B580" s="8" t="s">
        <v>96</v>
      </c>
      <c r="C580" s="15">
        <v>20278795</v>
      </c>
      <c r="D580" s="16">
        <v>8698902787956</v>
      </c>
      <c r="E580" s="14" t="s">
        <v>1598</v>
      </c>
      <c r="F580" s="17" t="s">
        <v>1599</v>
      </c>
      <c r="G580" s="18">
        <v>5</v>
      </c>
      <c r="I580" s="18">
        <v>0</v>
      </c>
      <c r="J580" s="8" t="s">
        <v>100</v>
      </c>
      <c r="K580" s="14">
        <v>34699</v>
      </c>
      <c r="L580" s="14" t="s">
        <v>229</v>
      </c>
      <c r="M580" s="20" t="s">
        <v>237</v>
      </c>
      <c r="N580" s="14" t="s">
        <v>230</v>
      </c>
      <c r="O580" s="12">
        <f t="shared" si="27"/>
        <v>10</v>
      </c>
      <c r="P580" t="str">
        <f t="shared" ref="P580:P643" si="29">IF(LEFT(C580,2)="SM",CONCATENATE(LEFT(C580,7),"✦",MID(C580,11,1)),LEFT(C580,9))</f>
        <v>20278795</v>
      </c>
      <c r="Q580">
        <f t="shared" si="28"/>
        <v>5</v>
      </c>
      <c r="R580" s="21"/>
    </row>
    <row r="581" spans="1:18" x14ac:dyDescent="0.3">
      <c r="A581" s="14">
        <v>6928</v>
      </c>
      <c r="B581" s="8" t="s">
        <v>96</v>
      </c>
      <c r="C581" s="15" t="s">
        <v>61</v>
      </c>
      <c r="D581" s="16">
        <v>8806094965469</v>
      </c>
      <c r="E581" s="14" t="s">
        <v>1600</v>
      </c>
      <c r="F581" s="17" t="s">
        <v>1601</v>
      </c>
      <c r="G581" s="18">
        <v>4</v>
      </c>
      <c r="H581" s="19">
        <v>0</v>
      </c>
      <c r="I581" s="18">
        <v>0</v>
      </c>
      <c r="J581" s="8" t="s">
        <v>100</v>
      </c>
      <c r="K581" s="14">
        <v>9699</v>
      </c>
      <c r="L581" s="14" t="s">
        <v>229</v>
      </c>
      <c r="M581" s="20" t="s">
        <v>114</v>
      </c>
      <c r="N581" s="14" t="s">
        <v>230</v>
      </c>
      <c r="O581" s="12">
        <f t="shared" si="27"/>
        <v>10</v>
      </c>
      <c r="P581" t="str">
        <f t="shared" si="29"/>
        <v>LH13QBRMB</v>
      </c>
      <c r="Q581">
        <f t="shared" si="28"/>
        <v>4</v>
      </c>
      <c r="R581" s="21"/>
    </row>
    <row r="582" spans="1:18" x14ac:dyDescent="0.3">
      <c r="A582" s="14">
        <v>7368</v>
      </c>
      <c r="B582" s="8" t="s">
        <v>96</v>
      </c>
      <c r="C582" s="15" t="s">
        <v>58</v>
      </c>
      <c r="D582" s="16">
        <v>8806095545400</v>
      </c>
      <c r="E582" s="14" t="s">
        <v>1602</v>
      </c>
      <c r="F582" s="17" t="s">
        <v>1603</v>
      </c>
      <c r="G582" s="18">
        <v>1</v>
      </c>
      <c r="I582" s="18">
        <v>0</v>
      </c>
      <c r="J582" s="8" t="s">
        <v>100</v>
      </c>
      <c r="K582" s="14">
        <v>12349</v>
      </c>
      <c r="L582" s="14" t="s">
        <v>229</v>
      </c>
      <c r="M582" s="20" t="s">
        <v>114</v>
      </c>
      <c r="N582" s="14" t="s">
        <v>230</v>
      </c>
      <c r="O582" s="12">
        <f t="shared" si="27"/>
        <v>10</v>
      </c>
      <c r="P582" t="str">
        <f t="shared" si="29"/>
        <v>LS32DM702</v>
      </c>
      <c r="Q582">
        <f t="shared" si="28"/>
        <v>1</v>
      </c>
      <c r="R582" s="21"/>
    </row>
    <row r="583" spans="1:18" x14ac:dyDescent="0.3">
      <c r="A583" s="14">
        <v>7283</v>
      </c>
      <c r="B583" s="8" t="s">
        <v>96</v>
      </c>
      <c r="C583" s="15" t="s">
        <v>59</v>
      </c>
      <c r="D583" s="16">
        <v>8806095545288</v>
      </c>
      <c r="E583" s="14" t="s">
        <v>1604</v>
      </c>
      <c r="F583" s="17" t="s">
        <v>1605</v>
      </c>
      <c r="G583" s="18">
        <v>2</v>
      </c>
      <c r="I583" s="18">
        <v>0</v>
      </c>
      <c r="J583" s="8" t="s">
        <v>100</v>
      </c>
      <c r="K583" s="14">
        <v>14999</v>
      </c>
      <c r="L583" s="14" t="s">
        <v>229</v>
      </c>
      <c r="M583" s="20" t="s">
        <v>114</v>
      </c>
      <c r="N583" s="14" t="s">
        <v>230</v>
      </c>
      <c r="O583" s="12">
        <f t="shared" si="27"/>
        <v>10</v>
      </c>
      <c r="P583" t="str">
        <f t="shared" si="29"/>
        <v>LS43DM702</v>
      </c>
      <c r="Q583">
        <f t="shared" si="28"/>
        <v>2</v>
      </c>
      <c r="R583" s="21"/>
    </row>
    <row r="584" spans="1:18" x14ac:dyDescent="0.3">
      <c r="A584" s="14">
        <v>7190</v>
      </c>
      <c r="B584" s="8" t="s">
        <v>96</v>
      </c>
      <c r="C584" s="15" t="s">
        <v>8</v>
      </c>
      <c r="D584" s="16">
        <v>8806095483436</v>
      </c>
      <c r="E584" s="14" t="s">
        <v>1606</v>
      </c>
      <c r="F584" s="17" t="s">
        <v>1607</v>
      </c>
      <c r="G584" s="18">
        <v>1</v>
      </c>
      <c r="H584" s="19">
        <v>0</v>
      </c>
      <c r="I584" s="18">
        <v>0</v>
      </c>
      <c r="J584" s="8" t="s">
        <v>100</v>
      </c>
      <c r="K584" s="14">
        <v>28999</v>
      </c>
      <c r="L584" s="14" t="s">
        <v>229</v>
      </c>
      <c r="M584" s="20" t="s">
        <v>114</v>
      </c>
      <c r="N584" s="14" t="s">
        <v>230</v>
      </c>
      <c r="O584" s="12">
        <f t="shared" si="27"/>
        <v>10</v>
      </c>
      <c r="P584" t="str">
        <f t="shared" si="29"/>
        <v>UE50DU700</v>
      </c>
      <c r="Q584">
        <f t="shared" si="28"/>
        <v>1</v>
      </c>
      <c r="R584" s="21"/>
    </row>
    <row r="585" spans="1:18" x14ac:dyDescent="0.3">
      <c r="A585" s="14">
        <v>7487</v>
      </c>
      <c r="B585" s="8" t="s">
        <v>96</v>
      </c>
      <c r="C585" s="15" t="s">
        <v>24</v>
      </c>
      <c r="D585" s="16">
        <v>8806097145479</v>
      </c>
      <c r="E585" s="14" t="s">
        <v>1608</v>
      </c>
      <c r="F585" s="17" t="s">
        <v>1609</v>
      </c>
      <c r="G585" s="18">
        <v>2</v>
      </c>
      <c r="I585" s="18">
        <v>2</v>
      </c>
      <c r="J585" s="8" t="s">
        <v>100</v>
      </c>
      <c r="K585" s="14">
        <v>29999</v>
      </c>
      <c r="L585" s="14" t="s">
        <v>229</v>
      </c>
      <c r="M585" s="20" t="s">
        <v>114</v>
      </c>
      <c r="N585" s="14" t="s">
        <v>230</v>
      </c>
      <c r="O585" s="12">
        <f t="shared" si="27"/>
        <v>10</v>
      </c>
      <c r="P585" t="str">
        <f t="shared" si="29"/>
        <v>UE50U8000</v>
      </c>
      <c r="Q585">
        <f t="shared" si="28"/>
        <v>2</v>
      </c>
      <c r="R585" s="21"/>
    </row>
    <row r="586" spans="1:18" x14ac:dyDescent="0.3">
      <c r="A586" s="14">
        <v>7183</v>
      </c>
      <c r="B586" s="8" t="s">
        <v>96</v>
      </c>
      <c r="C586" s="15" t="s">
        <v>9</v>
      </c>
      <c r="D586" s="16">
        <v>8806095483450</v>
      </c>
      <c r="E586" s="14" t="s">
        <v>1610</v>
      </c>
      <c r="F586" s="17" t="s">
        <v>1611</v>
      </c>
      <c r="G586" s="18">
        <v>4</v>
      </c>
      <c r="H586" s="19">
        <v>0</v>
      </c>
      <c r="I586" s="18">
        <v>4</v>
      </c>
      <c r="J586" s="8" t="s">
        <v>100</v>
      </c>
      <c r="K586" s="14">
        <v>34399</v>
      </c>
      <c r="L586" s="14" t="s">
        <v>229</v>
      </c>
      <c r="M586" s="20" t="s">
        <v>114</v>
      </c>
      <c r="N586" s="14" t="s">
        <v>230</v>
      </c>
      <c r="O586" s="12">
        <f t="shared" si="27"/>
        <v>10</v>
      </c>
      <c r="P586" t="str">
        <f t="shared" si="29"/>
        <v>UE55DU700</v>
      </c>
      <c r="Q586">
        <f t="shared" si="28"/>
        <v>4</v>
      </c>
      <c r="R586" s="21"/>
    </row>
    <row r="587" spans="1:18" x14ac:dyDescent="0.3">
      <c r="A587" s="14">
        <v>7054</v>
      </c>
      <c r="B587" s="8" t="s">
        <v>96</v>
      </c>
      <c r="C587" s="15" t="s">
        <v>16</v>
      </c>
      <c r="D587" s="16">
        <v>8806095430881</v>
      </c>
      <c r="E587" s="14" t="s">
        <v>1612</v>
      </c>
      <c r="F587" s="17" t="s">
        <v>1613</v>
      </c>
      <c r="G587" s="18">
        <v>1</v>
      </c>
      <c r="H587" s="19">
        <v>0</v>
      </c>
      <c r="I587" s="18">
        <v>0</v>
      </c>
      <c r="J587" s="8" t="s">
        <v>100</v>
      </c>
      <c r="K587" s="14">
        <v>61599</v>
      </c>
      <c r="L587" s="14" t="s">
        <v>229</v>
      </c>
      <c r="M587" s="20" t="s">
        <v>114</v>
      </c>
      <c r="N587" s="14" t="s">
        <v>230</v>
      </c>
      <c r="O587" s="12">
        <f t="shared" si="27"/>
        <v>10</v>
      </c>
      <c r="P587" t="str">
        <f t="shared" si="29"/>
        <v>QE55LS03D</v>
      </c>
      <c r="Q587">
        <f t="shared" si="28"/>
        <v>1</v>
      </c>
      <c r="R587" s="21"/>
    </row>
    <row r="588" spans="1:18" x14ac:dyDescent="0.3">
      <c r="A588" s="14">
        <v>7459</v>
      </c>
      <c r="B588" s="8" t="s">
        <v>96</v>
      </c>
      <c r="C588" s="15" t="s">
        <v>21</v>
      </c>
      <c r="D588" s="16">
        <v>8806097123972</v>
      </c>
      <c r="E588" s="14" t="s">
        <v>1614</v>
      </c>
      <c r="F588" s="17" t="s">
        <v>1615</v>
      </c>
      <c r="G588" s="18">
        <v>2</v>
      </c>
      <c r="I588" s="18">
        <v>0</v>
      </c>
      <c r="J588" s="8" t="s">
        <v>100</v>
      </c>
      <c r="K588" s="14">
        <v>69999</v>
      </c>
      <c r="L588" s="14" t="s">
        <v>229</v>
      </c>
      <c r="M588" s="20" t="s">
        <v>114</v>
      </c>
      <c r="N588" s="14" t="s">
        <v>230</v>
      </c>
      <c r="O588" s="12">
        <f t="shared" si="27"/>
        <v>10</v>
      </c>
      <c r="P588" t="str">
        <f t="shared" si="29"/>
        <v>QE55LS03F</v>
      </c>
      <c r="Q588">
        <f t="shared" si="28"/>
        <v>2</v>
      </c>
      <c r="R588" s="21"/>
    </row>
    <row r="589" spans="1:18" x14ac:dyDescent="0.3">
      <c r="A589" s="14">
        <v>7006</v>
      </c>
      <c r="B589" s="8" t="s">
        <v>96</v>
      </c>
      <c r="C589" s="15" t="s">
        <v>12</v>
      </c>
      <c r="D589" s="16">
        <v>8806095428642</v>
      </c>
      <c r="E589" s="14" t="s">
        <v>1616</v>
      </c>
      <c r="F589" s="17" t="s">
        <v>1617</v>
      </c>
      <c r="G589" s="18">
        <v>8</v>
      </c>
      <c r="H589" s="19">
        <v>0</v>
      </c>
      <c r="I589" s="18">
        <v>0</v>
      </c>
      <c r="J589" s="8" t="s">
        <v>100</v>
      </c>
      <c r="K589" s="14">
        <v>49399</v>
      </c>
      <c r="L589" s="14" t="s">
        <v>229</v>
      </c>
      <c r="M589" s="20" t="s">
        <v>114</v>
      </c>
      <c r="N589" s="14" t="s">
        <v>230</v>
      </c>
      <c r="O589" s="12">
        <f t="shared" si="27"/>
        <v>10</v>
      </c>
      <c r="P589" t="str">
        <f t="shared" si="29"/>
        <v>QE55Q70DA</v>
      </c>
      <c r="Q589">
        <f t="shared" si="28"/>
        <v>8</v>
      </c>
      <c r="R589" s="21"/>
    </row>
    <row r="590" spans="1:18" x14ac:dyDescent="0.3">
      <c r="A590" s="14">
        <v>7484</v>
      </c>
      <c r="B590" s="8" t="s">
        <v>96</v>
      </c>
      <c r="C590" s="15" t="s">
        <v>30</v>
      </c>
      <c r="D590" s="16">
        <v>8806097122128</v>
      </c>
      <c r="E590" s="14" t="s">
        <v>1618</v>
      </c>
      <c r="F590" s="17" t="s">
        <v>1619</v>
      </c>
      <c r="G590" s="18">
        <v>3</v>
      </c>
      <c r="I590" s="18">
        <v>0</v>
      </c>
      <c r="J590" s="8" t="s">
        <v>100</v>
      </c>
      <c r="K590" s="14">
        <v>59999</v>
      </c>
      <c r="L590" s="14" t="s">
        <v>229</v>
      </c>
      <c r="M590" s="20" t="s">
        <v>114</v>
      </c>
      <c r="N590" s="14" t="s">
        <v>230</v>
      </c>
      <c r="O590" s="12">
        <f t="shared" si="27"/>
        <v>10</v>
      </c>
      <c r="P590" t="str">
        <f t="shared" si="29"/>
        <v>QE55Q7F5A</v>
      </c>
      <c r="Q590">
        <f t="shared" si="28"/>
        <v>3</v>
      </c>
      <c r="R590" s="21"/>
    </row>
    <row r="591" spans="1:18" x14ac:dyDescent="0.3">
      <c r="A591" s="14">
        <v>7369</v>
      </c>
      <c r="B591" s="8" t="s">
        <v>96</v>
      </c>
      <c r="C591" s="15" t="s">
        <v>33</v>
      </c>
      <c r="D591" s="16">
        <v>8806095980508</v>
      </c>
      <c r="E591" s="14" t="s">
        <v>1620</v>
      </c>
      <c r="F591" s="17" t="s">
        <v>1621</v>
      </c>
      <c r="G591" s="18">
        <v>3</v>
      </c>
      <c r="I591" s="18">
        <v>0</v>
      </c>
      <c r="J591" s="8" t="s">
        <v>100</v>
      </c>
      <c r="K591" s="14">
        <v>54049</v>
      </c>
      <c r="L591" s="14" t="s">
        <v>229</v>
      </c>
      <c r="M591" s="20" t="s">
        <v>114</v>
      </c>
      <c r="N591" s="14" t="s">
        <v>230</v>
      </c>
      <c r="O591" s="12">
        <f t="shared" si="27"/>
        <v>10</v>
      </c>
      <c r="P591" t="str">
        <f t="shared" si="29"/>
        <v>QE55QN70F</v>
      </c>
      <c r="Q591">
        <f t="shared" si="28"/>
        <v>3</v>
      </c>
      <c r="R591" s="21"/>
    </row>
    <row r="592" spans="1:18" x14ac:dyDescent="0.3">
      <c r="A592" s="14">
        <v>7527</v>
      </c>
      <c r="B592" s="8" t="s">
        <v>96</v>
      </c>
      <c r="C592" s="15" t="s">
        <v>42</v>
      </c>
      <c r="D592" s="16">
        <v>8806097077114</v>
      </c>
      <c r="E592" s="14" t="s">
        <v>1622</v>
      </c>
      <c r="F592" s="17" t="s">
        <v>1623</v>
      </c>
      <c r="G592" s="18">
        <v>2</v>
      </c>
      <c r="I592" s="18">
        <v>0</v>
      </c>
      <c r="J592" s="8" t="s">
        <v>100</v>
      </c>
      <c r="K592" s="14">
        <v>85000</v>
      </c>
      <c r="L592" s="14" t="s">
        <v>229</v>
      </c>
      <c r="M592" s="20" t="s">
        <v>114</v>
      </c>
      <c r="N592" s="14" t="s">
        <v>230</v>
      </c>
      <c r="O592" s="12">
        <f t="shared" si="27"/>
        <v>10</v>
      </c>
      <c r="P592" t="str">
        <f t="shared" si="29"/>
        <v>QE55S90FA</v>
      </c>
      <c r="Q592">
        <f t="shared" si="28"/>
        <v>2</v>
      </c>
      <c r="R592" s="21"/>
    </row>
    <row r="593" spans="1:18" x14ac:dyDescent="0.3">
      <c r="A593" s="14">
        <v>7488</v>
      </c>
      <c r="B593" s="8" t="s">
        <v>96</v>
      </c>
      <c r="C593" s="15" t="s">
        <v>25</v>
      </c>
      <c r="D593" s="16">
        <v>8806097145486</v>
      </c>
      <c r="E593" s="14" t="s">
        <v>1624</v>
      </c>
      <c r="F593" s="17" t="s">
        <v>1625</v>
      </c>
      <c r="G593" s="18">
        <v>3</v>
      </c>
      <c r="I593" s="18">
        <v>0</v>
      </c>
      <c r="J593" s="8" t="s">
        <v>100</v>
      </c>
      <c r="K593" s="14">
        <v>37499</v>
      </c>
      <c r="L593" s="14" t="s">
        <v>229</v>
      </c>
      <c r="M593" s="20" t="s">
        <v>114</v>
      </c>
      <c r="N593" s="14" t="s">
        <v>230</v>
      </c>
      <c r="O593" s="12">
        <f t="shared" si="27"/>
        <v>10</v>
      </c>
      <c r="P593" t="str">
        <f t="shared" si="29"/>
        <v>UE55U8000</v>
      </c>
      <c r="Q593">
        <f t="shared" si="28"/>
        <v>3</v>
      </c>
      <c r="R593" s="21"/>
    </row>
    <row r="594" spans="1:18" x14ac:dyDescent="0.3">
      <c r="A594" s="14">
        <v>7055</v>
      </c>
      <c r="B594" s="8" t="s">
        <v>96</v>
      </c>
      <c r="C594" s="15" t="s">
        <v>17</v>
      </c>
      <c r="D594" s="16">
        <v>8806095430829</v>
      </c>
      <c r="E594" s="14" t="s">
        <v>1626</v>
      </c>
      <c r="F594" s="17" t="s">
        <v>1627</v>
      </c>
      <c r="G594" s="18">
        <v>2</v>
      </c>
      <c r="H594" s="19">
        <v>0</v>
      </c>
      <c r="I594" s="18">
        <v>1</v>
      </c>
      <c r="J594" s="8" t="s">
        <v>100</v>
      </c>
      <c r="K594" s="14">
        <v>83199</v>
      </c>
      <c r="L594" s="14" t="s">
        <v>229</v>
      </c>
      <c r="M594" s="20" t="s">
        <v>114</v>
      </c>
      <c r="N594" s="14" t="s">
        <v>230</v>
      </c>
      <c r="O594" s="12">
        <f t="shared" si="27"/>
        <v>10</v>
      </c>
      <c r="P594" t="str">
        <f t="shared" si="29"/>
        <v>QE65LS03D</v>
      </c>
      <c r="Q594">
        <f t="shared" si="28"/>
        <v>2</v>
      </c>
      <c r="R594" s="21"/>
    </row>
    <row r="595" spans="1:18" x14ac:dyDescent="0.3">
      <c r="A595" s="14">
        <v>7438</v>
      </c>
      <c r="B595" s="8" t="s">
        <v>96</v>
      </c>
      <c r="C595" s="15" t="s">
        <v>31</v>
      </c>
      <c r="D595" s="16">
        <v>8806097122180</v>
      </c>
      <c r="E595" s="14" t="s">
        <v>1628</v>
      </c>
      <c r="F595" s="17" t="s">
        <v>1629</v>
      </c>
      <c r="G595" s="18">
        <v>10</v>
      </c>
      <c r="I595" s="18">
        <v>0</v>
      </c>
      <c r="J595" s="8" t="s">
        <v>100</v>
      </c>
      <c r="K595" s="14">
        <v>69000</v>
      </c>
      <c r="L595" s="14" t="s">
        <v>229</v>
      </c>
      <c r="M595" s="20" t="s">
        <v>114</v>
      </c>
      <c r="N595" s="14" t="s">
        <v>230</v>
      </c>
      <c r="O595" s="12">
        <f t="shared" si="27"/>
        <v>10</v>
      </c>
      <c r="P595" t="str">
        <f t="shared" si="29"/>
        <v>QE65Q7F5A</v>
      </c>
      <c r="Q595">
        <f t="shared" si="28"/>
        <v>10</v>
      </c>
      <c r="R595" s="21"/>
    </row>
    <row r="596" spans="1:18" x14ac:dyDescent="0.3">
      <c r="A596" s="14">
        <v>7370</v>
      </c>
      <c r="B596" s="8" t="s">
        <v>96</v>
      </c>
      <c r="C596" s="15" t="s">
        <v>34</v>
      </c>
      <c r="D596" s="16">
        <v>8806095980515</v>
      </c>
      <c r="E596" s="14" t="s">
        <v>1630</v>
      </c>
      <c r="F596" s="17" t="s">
        <v>1631</v>
      </c>
      <c r="G596" s="18">
        <v>5</v>
      </c>
      <c r="I596" s="18">
        <v>0</v>
      </c>
      <c r="J596" s="8" t="s">
        <v>100</v>
      </c>
      <c r="K596" s="14">
        <v>68149</v>
      </c>
      <c r="L596" s="14" t="s">
        <v>229</v>
      </c>
      <c r="M596" s="20" t="s">
        <v>114</v>
      </c>
      <c r="N596" s="14" t="s">
        <v>230</v>
      </c>
      <c r="O596" s="12">
        <f t="shared" si="27"/>
        <v>10</v>
      </c>
      <c r="P596" t="str">
        <f t="shared" si="29"/>
        <v>QE65QN70F</v>
      </c>
      <c r="Q596">
        <f t="shared" si="28"/>
        <v>5</v>
      </c>
      <c r="R596" s="21"/>
    </row>
    <row r="597" spans="1:18" x14ac:dyDescent="0.3">
      <c r="A597" s="14">
        <v>7371</v>
      </c>
      <c r="B597" s="8" t="s">
        <v>96</v>
      </c>
      <c r="C597" s="15" t="s">
        <v>36</v>
      </c>
      <c r="D597" s="16">
        <v>8806095979915</v>
      </c>
      <c r="E597" s="14" t="s">
        <v>1632</v>
      </c>
      <c r="F597" s="17" t="s">
        <v>1633</v>
      </c>
      <c r="G597" s="18">
        <v>3</v>
      </c>
      <c r="I597" s="18">
        <v>0</v>
      </c>
      <c r="J597" s="8" t="s">
        <v>100</v>
      </c>
      <c r="K597" s="14">
        <v>100049</v>
      </c>
      <c r="L597" s="14" t="s">
        <v>229</v>
      </c>
      <c r="M597" s="20" t="s">
        <v>114</v>
      </c>
      <c r="N597" s="14" t="s">
        <v>230</v>
      </c>
      <c r="O597" s="12">
        <f t="shared" si="27"/>
        <v>10</v>
      </c>
      <c r="P597" t="str">
        <f t="shared" si="29"/>
        <v>QE65QN90F</v>
      </c>
      <c r="Q597">
        <f t="shared" si="28"/>
        <v>3</v>
      </c>
      <c r="R597" s="21"/>
    </row>
    <row r="598" spans="1:18" x14ac:dyDescent="0.3">
      <c r="A598" s="14">
        <v>7439</v>
      </c>
      <c r="B598" s="8" t="s">
        <v>96</v>
      </c>
      <c r="C598" s="15" t="s">
        <v>43</v>
      </c>
      <c r="D598" s="16">
        <v>8806095999746</v>
      </c>
      <c r="E598" s="14" t="s">
        <v>1634</v>
      </c>
      <c r="F598" s="17" t="s">
        <v>1635</v>
      </c>
      <c r="G598" s="18">
        <v>2</v>
      </c>
      <c r="I598" s="18">
        <v>0</v>
      </c>
      <c r="J598" s="8" t="s">
        <v>100</v>
      </c>
      <c r="K598" s="14">
        <v>100000</v>
      </c>
      <c r="L598" s="14" t="s">
        <v>229</v>
      </c>
      <c r="M598" s="20" t="s">
        <v>114</v>
      </c>
      <c r="N598" s="14" t="s">
        <v>230</v>
      </c>
      <c r="O598" s="12">
        <f t="shared" si="27"/>
        <v>10</v>
      </c>
      <c r="P598" t="str">
        <f t="shared" si="29"/>
        <v>QE65S85FA</v>
      </c>
      <c r="Q598">
        <f t="shared" si="28"/>
        <v>2</v>
      </c>
      <c r="R598" s="21"/>
    </row>
    <row r="599" spans="1:18" x14ac:dyDescent="0.3">
      <c r="A599" s="14">
        <v>7443</v>
      </c>
      <c r="B599" s="8" t="s">
        <v>96</v>
      </c>
      <c r="C599" s="15" t="s">
        <v>44</v>
      </c>
      <c r="D599" s="16">
        <v>8806097076858</v>
      </c>
      <c r="E599" s="14" t="s">
        <v>1636</v>
      </c>
      <c r="F599" s="17" t="s">
        <v>1637</v>
      </c>
      <c r="G599" s="18">
        <v>4</v>
      </c>
      <c r="I599" s="18">
        <v>0</v>
      </c>
      <c r="J599" s="8" t="s">
        <v>100</v>
      </c>
      <c r="K599" s="14">
        <v>125000</v>
      </c>
      <c r="L599" s="14" t="s">
        <v>229</v>
      </c>
      <c r="M599" s="20" t="s">
        <v>114</v>
      </c>
      <c r="N599" s="14" t="s">
        <v>230</v>
      </c>
      <c r="O599" s="12">
        <f t="shared" si="27"/>
        <v>10</v>
      </c>
      <c r="P599" t="str">
        <f t="shared" si="29"/>
        <v>QE65S90FA</v>
      </c>
      <c r="Q599">
        <f t="shared" si="28"/>
        <v>4</v>
      </c>
      <c r="R599" s="21"/>
    </row>
    <row r="600" spans="1:18" x14ac:dyDescent="0.3">
      <c r="A600" s="14">
        <v>7035</v>
      </c>
      <c r="B600" s="8" t="s">
        <v>96</v>
      </c>
      <c r="C600" s="15" t="s">
        <v>15</v>
      </c>
      <c r="D600" s="16">
        <v>8806095414690</v>
      </c>
      <c r="E600" s="14" t="s">
        <v>1638</v>
      </c>
      <c r="F600" s="17" t="s">
        <v>1639</v>
      </c>
      <c r="G600" s="18">
        <v>2</v>
      </c>
      <c r="H600" s="19">
        <v>0</v>
      </c>
      <c r="I600" s="18">
        <v>0</v>
      </c>
      <c r="J600" s="8" t="s">
        <v>100</v>
      </c>
      <c r="K600" s="14">
        <v>151799</v>
      </c>
      <c r="L600" s="14" t="s">
        <v>229</v>
      </c>
      <c r="M600" s="20" t="s">
        <v>114</v>
      </c>
      <c r="N600" s="14" t="s">
        <v>230</v>
      </c>
      <c r="O600" s="12">
        <f t="shared" si="27"/>
        <v>10</v>
      </c>
      <c r="P600" t="str">
        <f t="shared" si="29"/>
        <v>QE65S95DA</v>
      </c>
      <c r="Q600">
        <f t="shared" si="28"/>
        <v>2</v>
      </c>
      <c r="R600" s="21"/>
    </row>
    <row r="601" spans="1:18" x14ac:dyDescent="0.3">
      <c r="A601" s="14">
        <v>7462</v>
      </c>
      <c r="B601" s="8" t="s">
        <v>96</v>
      </c>
      <c r="C601" s="15" t="s">
        <v>45</v>
      </c>
      <c r="D601" s="16">
        <v>8806097121558</v>
      </c>
      <c r="E601" s="14" t="s">
        <v>1640</v>
      </c>
      <c r="F601" s="17" t="s">
        <v>1641</v>
      </c>
      <c r="G601" s="18">
        <v>3</v>
      </c>
      <c r="I601" s="18">
        <v>0</v>
      </c>
      <c r="J601" s="8" t="s">
        <v>100</v>
      </c>
      <c r="K601" s="14">
        <v>179999</v>
      </c>
      <c r="L601" s="14" t="s">
        <v>229</v>
      </c>
      <c r="M601" s="20" t="s">
        <v>114</v>
      </c>
      <c r="N601" s="14" t="s">
        <v>230</v>
      </c>
      <c r="O601" s="12">
        <f t="shared" si="27"/>
        <v>10</v>
      </c>
      <c r="P601" t="str">
        <f t="shared" si="29"/>
        <v>QE65S95FA</v>
      </c>
      <c r="Q601">
        <f t="shared" si="28"/>
        <v>3</v>
      </c>
      <c r="R601" s="21"/>
    </row>
    <row r="602" spans="1:18" x14ac:dyDescent="0.3">
      <c r="A602" s="14">
        <v>7489</v>
      </c>
      <c r="B602" s="8" t="s">
        <v>96</v>
      </c>
      <c r="C602" s="15" t="s">
        <v>26</v>
      </c>
      <c r="D602" s="16">
        <v>8806097145509</v>
      </c>
      <c r="E602" s="14" t="s">
        <v>1642</v>
      </c>
      <c r="F602" s="17" t="s">
        <v>1643</v>
      </c>
      <c r="G602" s="18">
        <v>7</v>
      </c>
      <c r="I602" s="18">
        <v>0</v>
      </c>
      <c r="J602" s="8" t="s">
        <v>100</v>
      </c>
      <c r="K602" s="14">
        <v>44999</v>
      </c>
      <c r="L602" s="14" t="s">
        <v>229</v>
      </c>
      <c r="M602" s="20" t="s">
        <v>114</v>
      </c>
      <c r="N602" s="14" t="s">
        <v>230</v>
      </c>
      <c r="O602" s="12">
        <f t="shared" si="27"/>
        <v>10</v>
      </c>
      <c r="P602" t="str">
        <f t="shared" si="29"/>
        <v>UE65U8000</v>
      </c>
      <c r="Q602">
        <f t="shared" si="28"/>
        <v>7</v>
      </c>
      <c r="R602" s="21"/>
    </row>
    <row r="603" spans="1:18" x14ac:dyDescent="0.3">
      <c r="A603" s="14">
        <v>7005</v>
      </c>
      <c r="B603" s="8" t="s">
        <v>96</v>
      </c>
      <c r="C603" s="15" t="s">
        <v>10</v>
      </c>
      <c r="D603" s="16">
        <v>8806095482279</v>
      </c>
      <c r="E603" s="14" t="s">
        <v>1644</v>
      </c>
      <c r="F603" s="17" t="s">
        <v>1645</v>
      </c>
      <c r="G603" s="18">
        <v>3</v>
      </c>
      <c r="H603" s="19">
        <v>0</v>
      </c>
      <c r="I603" s="18">
        <v>2</v>
      </c>
      <c r="J603" s="8" t="s">
        <v>100</v>
      </c>
      <c r="K603" s="14">
        <v>58599</v>
      </c>
      <c r="L603" s="14" t="s">
        <v>229</v>
      </c>
      <c r="M603" s="20" t="s">
        <v>114</v>
      </c>
      <c r="N603" s="14" t="s">
        <v>230</v>
      </c>
      <c r="O603" s="12">
        <f t="shared" si="27"/>
        <v>10</v>
      </c>
      <c r="P603" t="str">
        <f t="shared" si="29"/>
        <v>UE75DU710</v>
      </c>
      <c r="Q603">
        <f t="shared" si="28"/>
        <v>3</v>
      </c>
      <c r="R603" s="21"/>
    </row>
    <row r="604" spans="1:18" x14ac:dyDescent="0.3">
      <c r="A604" s="14">
        <v>7039</v>
      </c>
      <c r="B604" s="8" t="s">
        <v>96</v>
      </c>
      <c r="C604" s="15" t="s">
        <v>18</v>
      </c>
      <c r="E604" s="14" t="s">
        <v>1646</v>
      </c>
      <c r="F604" s="17" t="s">
        <v>1647</v>
      </c>
      <c r="G604" s="18">
        <v>2</v>
      </c>
      <c r="H604" s="19">
        <v>0</v>
      </c>
      <c r="I604" s="18">
        <v>0</v>
      </c>
      <c r="J604" s="8" t="s">
        <v>100</v>
      </c>
      <c r="K604" s="14">
        <v>103299</v>
      </c>
      <c r="L604" s="14" t="s">
        <v>229</v>
      </c>
      <c r="M604" s="20" t="s">
        <v>114</v>
      </c>
      <c r="N604" s="14" t="s">
        <v>230</v>
      </c>
      <c r="O604" s="12">
        <f t="shared" si="27"/>
        <v>10</v>
      </c>
      <c r="P604" t="str">
        <f t="shared" si="29"/>
        <v>QE75LS03D</v>
      </c>
      <c r="Q604">
        <f t="shared" si="28"/>
        <v>2</v>
      </c>
      <c r="R604" s="21"/>
    </row>
    <row r="605" spans="1:18" x14ac:dyDescent="0.3">
      <c r="A605" s="14">
        <v>7442</v>
      </c>
      <c r="B605" s="8" t="s">
        <v>96</v>
      </c>
      <c r="C605" s="15" t="s">
        <v>22</v>
      </c>
      <c r="D605" s="16">
        <v>8806097124016</v>
      </c>
      <c r="E605" s="14" t="s">
        <v>1648</v>
      </c>
      <c r="F605" s="17" t="s">
        <v>1649</v>
      </c>
      <c r="G605" s="18">
        <v>2</v>
      </c>
      <c r="I605" s="18">
        <v>0</v>
      </c>
      <c r="J605" s="8" t="s">
        <v>100</v>
      </c>
      <c r="K605" s="14">
        <v>122000</v>
      </c>
      <c r="L605" s="14" t="s">
        <v>229</v>
      </c>
      <c r="M605" s="20" t="s">
        <v>114</v>
      </c>
      <c r="N605" s="14" t="s">
        <v>230</v>
      </c>
      <c r="O605" s="12">
        <f t="shared" si="27"/>
        <v>10</v>
      </c>
      <c r="P605" t="str">
        <f t="shared" si="29"/>
        <v>QE75LS03F</v>
      </c>
      <c r="Q605">
        <f t="shared" si="28"/>
        <v>2</v>
      </c>
      <c r="R605" s="21"/>
    </row>
    <row r="606" spans="1:18" x14ac:dyDescent="0.3">
      <c r="A606" s="14">
        <v>7009</v>
      </c>
      <c r="B606" s="8" t="s">
        <v>96</v>
      </c>
      <c r="C606" s="15" t="s">
        <v>14</v>
      </c>
      <c r="D606" s="16">
        <v>8806095428635</v>
      </c>
      <c r="E606" s="14" t="s">
        <v>1650</v>
      </c>
      <c r="F606" s="17" t="s">
        <v>1651</v>
      </c>
      <c r="G606" s="18">
        <v>2</v>
      </c>
      <c r="H606" s="19">
        <v>0</v>
      </c>
      <c r="I606" s="18">
        <v>2</v>
      </c>
      <c r="J606" s="8" t="s">
        <v>100</v>
      </c>
      <c r="K606" s="14">
        <v>82499</v>
      </c>
      <c r="L606" s="14" t="s">
        <v>229</v>
      </c>
      <c r="M606" s="20" t="s">
        <v>114</v>
      </c>
      <c r="N606" s="14" t="s">
        <v>230</v>
      </c>
      <c r="O606" s="12">
        <f t="shared" si="27"/>
        <v>10</v>
      </c>
      <c r="P606" t="str">
        <f t="shared" si="29"/>
        <v>QE75Q70DA</v>
      </c>
      <c r="Q606">
        <f t="shared" si="28"/>
        <v>2</v>
      </c>
      <c r="R606" s="21"/>
    </row>
    <row r="607" spans="1:18" x14ac:dyDescent="0.3">
      <c r="A607" s="14">
        <v>7372</v>
      </c>
      <c r="B607" s="8" t="s">
        <v>96</v>
      </c>
      <c r="C607" s="15" t="s">
        <v>32</v>
      </c>
      <c r="D607" s="16">
        <v>8806097122463</v>
      </c>
      <c r="E607" s="14" t="s">
        <v>1652</v>
      </c>
      <c r="F607" s="17" t="s">
        <v>1653</v>
      </c>
      <c r="G607" s="18">
        <v>13</v>
      </c>
      <c r="I607" s="18">
        <v>0</v>
      </c>
      <c r="J607" s="8" t="s">
        <v>100</v>
      </c>
      <c r="K607" s="14">
        <v>66999</v>
      </c>
      <c r="L607" s="14" t="s">
        <v>229</v>
      </c>
      <c r="M607" s="20" t="s">
        <v>114</v>
      </c>
      <c r="N607" s="14" t="s">
        <v>230</v>
      </c>
      <c r="O607" s="12">
        <f t="shared" si="27"/>
        <v>10</v>
      </c>
      <c r="P607" t="str">
        <f t="shared" si="29"/>
        <v>QE75Q7F5A</v>
      </c>
      <c r="Q607">
        <f t="shared" si="28"/>
        <v>13</v>
      </c>
      <c r="R607" s="21"/>
    </row>
    <row r="608" spans="1:18" x14ac:dyDescent="0.3">
      <c r="A608" s="14">
        <v>7440</v>
      </c>
      <c r="B608" s="8" t="s">
        <v>96</v>
      </c>
      <c r="C608" s="15" t="s">
        <v>35</v>
      </c>
      <c r="D608" s="16">
        <v>8806095980522</v>
      </c>
      <c r="E608" s="14" t="s">
        <v>1654</v>
      </c>
      <c r="F608" s="17" t="s">
        <v>1655</v>
      </c>
      <c r="G608" s="18">
        <v>5</v>
      </c>
      <c r="I608" s="18">
        <v>0</v>
      </c>
      <c r="J608" s="8" t="s">
        <v>100</v>
      </c>
      <c r="K608" s="14">
        <v>89900</v>
      </c>
      <c r="L608" s="14" t="s">
        <v>229</v>
      </c>
      <c r="M608" s="20" t="s">
        <v>114</v>
      </c>
      <c r="N608" s="14" t="s">
        <v>230</v>
      </c>
      <c r="O608" s="12">
        <f t="shared" si="27"/>
        <v>10</v>
      </c>
      <c r="P608" t="str">
        <f t="shared" si="29"/>
        <v>QE75QN70F</v>
      </c>
      <c r="Q608">
        <f t="shared" si="28"/>
        <v>5</v>
      </c>
      <c r="R608" s="21"/>
    </row>
    <row r="609" spans="1:18" x14ac:dyDescent="0.3">
      <c r="A609" s="14">
        <v>7373</v>
      </c>
      <c r="B609" s="8" t="s">
        <v>96</v>
      </c>
      <c r="C609" s="15" t="s">
        <v>37</v>
      </c>
      <c r="D609" s="16">
        <v>8806095979922</v>
      </c>
      <c r="E609" s="14" t="s">
        <v>1656</v>
      </c>
      <c r="F609" s="17" t="s">
        <v>1657</v>
      </c>
      <c r="G609" s="18">
        <v>5</v>
      </c>
      <c r="I609" s="18">
        <v>0</v>
      </c>
      <c r="J609" s="8" t="s">
        <v>100</v>
      </c>
      <c r="K609" s="14">
        <v>135149</v>
      </c>
      <c r="L609" s="14" t="s">
        <v>229</v>
      </c>
      <c r="M609" s="20" t="s">
        <v>114</v>
      </c>
      <c r="N609" s="14" t="s">
        <v>230</v>
      </c>
      <c r="O609" s="12">
        <f t="shared" si="27"/>
        <v>10</v>
      </c>
      <c r="P609" t="str">
        <f t="shared" si="29"/>
        <v>QE75QN90F</v>
      </c>
      <c r="Q609">
        <f t="shared" si="28"/>
        <v>5</v>
      </c>
      <c r="R609" s="21"/>
    </row>
    <row r="610" spans="1:18" x14ac:dyDescent="0.3">
      <c r="A610" s="14">
        <v>7460</v>
      </c>
      <c r="B610" s="8" t="s">
        <v>96</v>
      </c>
      <c r="C610" s="15" t="s">
        <v>27</v>
      </c>
      <c r="D610" s="16">
        <v>8806097122296</v>
      </c>
      <c r="E610" s="14" t="s">
        <v>1658</v>
      </c>
      <c r="F610" s="17" t="s">
        <v>1659</v>
      </c>
      <c r="G610" s="18">
        <v>11</v>
      </c>
      <c r="I610" s="18">
        <v>0</v>
      </c>
      <c r="J610" s="8" t="s">
        <v>100</v>
      </c>
      <c r="K610" s="14">
        <v>69999</v>
      </c>
      <c r="L610" s="14" t="s">
        <v>229</v>
      </c>
      <c r="M610" s="20" t="s">
        <v>114</v>
      </c>
      <c r="N610" s="14" t="s">
        <v>230</v>
      </c>
      <c r="O610" s="12">
        <f t="shared" si="27"/>
        <v>10</v>
      </c>
      <c r="P610" t="str">
        <f t="shared" si="29"/>
        <v>UE75U8000</v>
      </c>
      <c r="Q610">
        <f t="shared" si="28"/>
        <v>11</v>
      </c>
      <c r="R610" s="21"/>
    </row>
    <row r="611" spans="1:18" x14ac:dyDescent="0.3">
      <c r="A611" s="14">
        <v>7374</v>
      </c>
      <c r="B611" s="8" t="s">
        <v>96</v>
      </c>
      <c r="C611" s="15" t="s">
        <v>46</v>
      </c>
      <c r="D611" s="16">
        <v>8806095999623</v>
      </c>
      <c r="E611" s="14" t="s">
        <v>1660</v>
      </c>
      <c r="F611" s="17" t="s">
        <v>1661</v>
      </c>
      <c r="G611" s="18">
        <v>3</v>
      </c>
      <c r="I611" s="18">
        <v>0</v>
      </c>
      <c r="J611" s="8" t="s">
        <v>100</v>
      </c>
      <c r="K611" s="14">
        <v>133999</v>
      </c>
      <c r="L611" s="14" t="s">
        <v>229</v>
      </c>
      <c r="M611" s="20" t="s">
        <v>114</v>
      </c>
      <c r="N611" s="14" t="s">
        <v>230</v>
      </c>
      <c r="O611" s="12">
        <f t="shared" si="27"/>
        <v>10</v>
      </c>
      <c r="P611" t="str">
        <f t="shared" si="29"/>
        <v>QE77S85FA</v>
      </c>
      <c r="Q611">
        <f t="shared" si="28"/>
        <v>3</v>
      </c>
      <c r="R611" s="21"/>
    </row>
    <row r="612" spans="1:18" x14ac:dyDescent="0.3">
      <c r="A612" s="14">
        <v>7441</v>
      </c>
      <c r="B612" s="8" t="s">
        <v>96</v>
      </c>
      <c r="C612" s="15" t="s">
        <v>47</v>
      </c>
      <c r="D612" s="16">
        <v>8806097077084</v>
      </c>
      <c r="E612" s="14" t="s">
        <v>1662</v>
      </c>
      <c r="F612" s="17" t="s">
        <v>1663</v>
      </c>
      <c r="G612" s="18">
        <v>5</v>
      </c>
      <c r="I612" s="18">
        <v>0</v>
      </c>
      <c r="J612" s="8" t="s">
        <v>100</v>
      </c>
      <c r="K612" s="14">
        <v>176000</v>
      </c>
      <c r="L612" s="14" t="s">
        <v>229</v>
      </c>
      <c r="M612" s="20" t="s">
        <v>114</v>
      </c>
      <c r="N612" s="14" t="s">
        <v>230</v>
      </c>
      <c r="O612" s="12">
        <f t="shared" si="27"/>
        <v>10</v>
      </c>
      <c r="P612" t="str">
        <f t="shared" si="29"/>
        <v>QE77S90FA</v>
      </c>
      <c r="Q612">
        <f t="shared" si="28"/>
        <v>5</v>
      </c>
      <c r="R612" s="21"/>
    </row>
    <row r="613" spans="1:18" x14ac:dyDescent="0.3">
      <c r="A613" s="14">
        <v>7528</v>
      </c>
      <c r="B613" s="8" t="s">
        <v>96</v>
      </c>
      <c r="C613" s="15" t="s">
        <v>50</v>
      </c>
      <c r="D613" s="16">
        <v>8806097077091</v>
      </c>
      <c r="E613" s="14" t="s">
        <v>1664</v>
      </c>
      <c r="F613" s="17" t="s">
        <v>1665</v>
      </c>
      <c r="G613" s="18">
        <v>1</v>
      </c>
      <c r="I613" s="18">
        <v>0</v>
      </c>
      <c r="J613" s="8" t="s">
        <v>100</v>
      </c>
      <c r="K613" s="14">
        <v>276999</v>
      </c>
      <c r="L613" s="14" t="s">
        <v>229</v>
      </c>
      <c r="M613" s="20" t="s">
        <v>114</v>
      </c>
      <c r="N613" s="14" t="s">
        <v>230</v>
      </c>
      <c r="O613" s="12">
        <f t="shared" si="27"/>
        <v>10</v>
      </c>
      <c r="P613" t="str">
        <f t="shared" si="29"/>
        <v>QE83S90FA</v>
      </c>
      <c r="Q613">
        <f t="shared" si="28"/>
        <v>1</v>
      </c>
      <c r="R613" s="21"/>
    </row>
    <row r="614" spans="1:18" x14ac:dyDescent="0.3">
      <c r="A614" s="14">
        <v>7038</v>
      </c>
      <c r="B614" s="8" t="s">
        <v>96</v>
      </c>
      <c r="C614" s="15" t="s">
        <v>11</v>
      </c>
      <c r="D614" s="16">
        <v>8806095481937</v>
      </c>
      <c r="E614" s="14" t="s">
        <v>1666</v>
      </c>
      <c r="F614" s="17" t="s">
        <v>1667</v>
      </c>
      <c r="G614" s="18">
        <v>2</v>
      </c>
      <c r="H614" s="19">
        <v>0</v>
      </c>
      <c r="I614" s="18">
        <v>2</v>
      </c>
      <c r="J614" s="8" t="s">
        <v>100</v>
      </c>
      <c r="K614" s="14">
        <v>81249</v>
      </c>
      <c r="L614" s="14" t="s">
        <v>229</v>
      </c>
      <c r="M614" s="20" t="s">
        <v>114</v>
      </c>
      <c r="N614" s="14" t="s">
        <v>230</v>
      </c>
      <c r="O614" s="12">
        <f t="shared" si="27"/>
        <v>10</v>
      </c>
      <c r="P614" t="str">
        <f t="shared" si="29"/>
        <v>UE85DU710</v>
      </c>
      <c r="Q614">
        <f t="shared" si="28"/>
        <v>2</v>
      </c>
      <c r="R614" s="21"/>
    </row>
    <row r="615" spans="1:18" x14ac:dyDescent="0.3">
      <c r="A615" s="14">
        <v>7501</v>
      </c>
      <c r="B615" s="8" t="s">
        <v>96</v>
      </c>
      <c r="C615" s="15" t="s">
        <v>38</v>
      </c>
      <c r="D615" s="16">
        <v>8806095990729</v>
      </c>
      <c r="E615" s="14" t="s">
        <v>1668</v>
      </c>
      <c r="F615" s="17" t="s">
        <v>1669</v>
      </c>
      <c r="G615" s="18">
        <v>3</v>
      </c>
      <c r="I615" s="18">
        <v>0</v>
      </c>
      <c r="J615" s="8" t="s">
        <v>100</v>
      </c>
      <c r="K615" s="14">
        <v>109999</v>
      </c>
      <c r="L615" s="14" t="s">
        <v>229</v>
      </c>
      <c r="M615" s="20" t="s">
        <v>114</v>
      </c>
      <c r="N615" s="14" t="s">
        <v>230</v>
      </c>
      <c r="O615" s="12">
        <f t="shared" si="27"/>
        <v>10</v>
      </c>
      <c r="P615" t="str">
        <f t="shared" si="29"/>
        <v>QE85QN70F</v>
      </c>
      <c r="Q615">
        <f t="shared" si="28"/>
        <v>3</v>
      </c>
      <c r="R615" s="21"/>
    </row>
    <row r="616" spans="1:18" x14ac:dyDescent="0.3">
      <c r="A616" s="14">
        <v>7486</v>
      </c>
      <c r="B616" s="8" t="s">
        <v>96</v>
      </c>
      <c r="C616" s="15" t="s">
        <v>39</v>
      </c>
      <c r="D616" s="16">
        <v>8806095979861</v>
      </c>
      <c r="E616" s="14" t="s">
        <v>1670</v>
      </c>
      <c r="F616" s="17" t="s">
        <v>1671</v>
      </c>
      <c r="G616" s="18">
        <v>3</v>
      </c>
      <c r="I616" s="18">
        <v>0</v>
      </c>
      <c r="J616" s="8" t="s">
        <v>100</v>
      </c>
      <c r="K616" s="14">
        <v>175000</v>
      </c>
      <c r="L616" s="14" t="s">
        <v>229</v>
      </c>
      <c r="M616" s="20" t="s">
        <v>114</v>
      </c>
      <c r="N616" s="14" t="s">
        <v>230</v>
      </c>
      <c r="O616" s="12">
        <f t="shared" si="27"/>
        <v>10</v>
      </c>
      <c r="P616" t="str">
        <f t="shared" si="29"/>
        <v>QE85QN90F</v>
      </c>
      <c r="Q616">
        <f t="shared" si="28"/>
        <v>3</v>
      </c>
      <c r="R616" s="21"/>
    </row>
    <row r="617" spans="1:18" x14ac:dyDescent="0.3">
      <c r="A617" s="14">
        <v>7461</v>
      </c>
      <c r="B617" s="8" t="s">
        <v>96</v>
      </c>
      <c r="C617" s="15" t="s">
        <v>28</v>
      </c>
      <c r="D617" s="16">
        <v>8806097124221</v>
      </c>
      <c r="E617" s="14" t="s">
        <v>1672</v>
      </c>
      <c r="F617" s="17" t="s">
        <v>1673</v>
      </c>
      <c r="G617" s="18">
        <v>3</v>
      </c>
      <c r="I617" s="18">
        <v>0</v>
      </c>
      <c r="J617" s="8" t="s">
        <v>100</v>
      </c>
      <c r="K617" s="14">
        <v>79999</v>
      </c>
      <c r="L617" s="14" t="s">
        <v>229</v>
      </c>
      <c r="M617" s="20" t="s">
        <v>114</v>
      </c>
      <c r="N617" s="14" t="s">
        <v>230</v>
      </c>
      <c r="O617" s="12">
        <f t="shared" si="27"/>
        <v>10</v>
      </c>
      <c r="P617" t="str">
        <f t="shared" si="29"/>
        <v>UE85U8000</v>
      </c>
      <c r="Q617">
        <f t="shared" si="28"/>
        <v>3</v>
      </c>
      <c r="R617" s="21"/>
    </row>
    <row r="618" spans="1:18" x14ac:dyDescent="0.3">
      <c r="A618" s="14">
        <v>7437</v>
      </c>
      <c r="B618" s="8" t="s">
        <v>96</v>
      </c>
      <c r="C618" s="15" t="s">
        <v>41</v>
      </c>
      <c r="D618" s="16">
        <v>8806095999616</v>
      </c>
      <c r="E618" s="14" t="s">
        <v>1674</v>
      </c>
      <c r="F618" s="17" t="s">
        <v>1675</v>
      </c>
      <c r="G618" s="18">
        <v>2</v>
      </c>
      <c r="I618" s="18">
        <v>0</v>
      </c>
      <c r="J618" s="8" t="s">
        <v>100</v>
      </c>
      <c r="K618" s="14">
        <v>79000</v>
      </c>
      <c r="L618" s="14" t="s">
        <v>229</v>
      </c>
      <c r="M618" s="20" t="s">
        <v>114</v>
      </c>
      <c r="N618" s="14" t="s">
        <v>230</v>
      </c>
      <c r="O618" s="12">
        <f t="shared" si="27"/>
        <v>10</v>
      </c>
      <c r="P618" t="str">
        <f t="shared" si="29"/>
        <v>QE55S85FA</v>
      </c>
      <c r="Q618">
        <f t="shared" si="28"/>
        <v>2</v>
      </c>
      <c r="R618" s="21"/>
    </row>
    <row r="619" spans="1:18" x14ac:dyDescent="0.3">
      <c r="A619" s="14">
        <v>7516</v>
      </c>
      <c r="B619" s="8" t="s">
        <v>96</v>
      </c>
      <c r="C619" s="15" t="s">
        <v>48</v>
      </c>
      <c r="D619" s="16">
        <v>8806097121565</v>
      </c>
      <c r="E619" s="14" t="s">
        <v>1676</v>
      </c>
      <c r="F619" s="17" t="s">
        <v>1677</v>
      </c>
      <c r="G619" s="18">
        <v>3</v>
      </c>
      <c r="I619" s="18">
        <v>0</v>
      </c>
      <c r="J619" s="8" t="s">
        <v>100</v>
      </c>
      <c r="K619" s="14">
        <v>199000</v>
      </c>
      <c r="L619" s="14" t="s">
        <v>229</v>
      </c>
      <c r="M619" s="20" t="s">
        <v>114</v>
      </c>
      <c r="N619" s="14" t="s">
        <v>230</v>
      </c>
      <c r="O619" s="12">
        <f t="shared" si="27"/>
        <v>10</v>
      </c>
      <c r="P619" t="str">
        <f t="shared" si="29"/>
        <v>QE77S95FA</v>
      </c>
      <c r="Q619">
        <f t="shared" si="28"/>
        <v>3</v>
      </c>
      <c r="R619" s="21"/>
    </row>
    <row r="620" spans="1:18" x14ac:dyDescent="0.3">
      <c r="A620" s="14">
        <v>7477</v>
      </c>
      <c r="B620" s="8" t="s">
        <v>96</v>
      </c>
      <c r="C620" s="15" t="s">
        <v>23</v>
      </c>
      <c r="D620" s="16">
        <v>8806097145462</v>
      </c>
      <c r="E620" s="14" t="s">
        <v>1678</v>
      </c>
      <c r="F620" s="17" t="s">
        <v>1679</v>
      </c>
      <c r="G620" s="18">
        <v>8</v>
      </c>
      <c r="I620" s="18">
        <v>0</v>
      </c>
      <c r="J620" s="8" t="s">
        <v>100</v>
      </c>
      <c r="K620" s="14">
        <v>24450</v>
      </c>
      <c r="L620" s="14" t="s">
        <v>229</v>
      </c>
      <c r="M620" s="20" t="s">
        <v>114</v>
      </c>
      <c r="N620" s="14" t="s">
        <v>230</v>
      </c>
      <c r="O620" s="12">
        <f t="shared" si="27"/>
        <v>10</v>
      </c>
      <c r="P620" t="str">
        <f t="shared" si="29"/>
        <v>UE43U8000</v>
      </c>
      <c r="Q620">
        <f t="shared" si="28"/>
        <v>8</v>
      </c>
      <c r="R620" s="21"/>
    </row>
    <row r="621" spans="1:18" x14ac:dyDescent="0.3">
      <c r="A621" s="14">
        <v>7115</v>
      </c>
      <c r="B621" s="8" t="s">
        <v>96</v>
      </c>
      <c r="C621" s="15" t="s">
        <v>29</v>
      </c>
      <c r="D621" s="16">
        <v>8806095539973</v>
      </c>
      <c r="E621" s="14" t="s">
        <v>1680</v>
      </c>
      <c r="F621" s="17" t="s">
        <v>1681</v>
      </c>
      <c r="G621" s="18">
        <v>2</v>
      </c>
      <c r="I621" s="18">
        <v>0</v>
      </c>
      <c r="J621" s="8" t="s">
        <v>100</v>
      </c>
      <c r="K621" s="14">
        <v>130000</v>
      </c>
      <c r="L621" s="14" t="s">
        <v>229</v>
      </c>
      <c r="M621" s="20" t="s">
        <v>114</v>
      </c>
      <c r="N621" s="14" t="s">
        <v>230</v>
      </c>
      <c r="O621" s="12">
        <f t="shared" si="27"/>
        <v>10</v>
      </c>
      <c r="P621" t="str">
        <f t="shared" si="29"/>
        <v>UE98DU900</v>
      </c>
      <c r="Q621">
        <f t="shared" si="28"/>
        <v>2</v>
      </c>
      <c r="R621" s="21"/>
    </row>
    <row r="622" spans="1:18" x14ac:dyDescent="0.3">
      <c r="A622" s="14">
        <v>7485</v>
      </c>
      <c r="B622" s="8" t="s">
        <v>96</v>
      </c>
      <c r="C622" s="15" t="s">
        <v>49</v>
      </c>
      <c r="D622" s="16">
        <v>8806095999654</v>
      </c>
      <c r="E622" s="14" t="s">
        <v>1682</v>
      </c>
      <c r="F622" s="17" t="s">
        <v>1683</v>
      </c>
      <c r="G622" s="18">
        <v>2</v>
      </c>
      <c r="I622" s="18">
        <v>0</v>
      </c>
      <c r="J622" s="8" t="s">
        <v>100</v>
      </c>
      <c r="K622" s="14">
        <v>175000</v>
      </c>
      <c r="L622" s="14" t="s">
        <v>229</v>
      </c>
      <c r="M622" s="20" t="s">
        <v>114</v>
      </c>
      <c r="N622" s="14" t="s">
        <v>230</v>
      </c>
      <c r="O622" s="12">
        <f t="shared" si="27"/>
        <v>10</v>
      </c>
      <c r="P622" t="str">
        <f t="shared" si="29"/>
        <v>QE83S85FA</v>
      </c>
      <c r="Q622">
        <f t="shared" si="28"/>
        <v>2</v>
      </c>
      <c r="R622" s="21"/>
    </row>
    <row r="623" spans="1:18" x14ac:dyDescent="0.3">
      <c r="A623" s="14">
        <v>2896</v>
      </c>
      <c r="B623" s="8" t="s">
        <v>96</v>
      </c>
      <c r="C623" s="15" t="s">
        <v>1684</v>
      </c>
      <c r="D623" s="16">
        <v>8699273420381</v>
      </c>
      <c r="E623" s="14" t="s">
        <v>1685</v>
      </c>
      <c r="F623" s="17" t="s">
        <v>1686</v>
      </c>
      <c r="G623" s="18">
        <v>6</v>
      </c>
      <c r="H623" s="19">
        <v>0</v>
      </c>
      <c r="I623" s="18">
        <v>0</v>
      </c>
      <c r="J623" s="8" t="s">
        <v>100</v>
      </c>
      <c r="K623" s="14">
        <v>299</v>
      </c>
      <c r="L623" s="14" t="s">
        <v>233</v>
      </c>
      <c r="M623" s="20" t="s">
        <v>922</v>
      </c>
      <c r="N623" s="14" t="s">
        <v>234</v>
      </c>
      <c r="O623" s="12">
        <f t="shared" si="27"/>
        <v>10</v>
      </c>
      <c r="P623" t="str">
        <f t="shared" si="29"/>
        <v>HDMI ADAP</v>
      </c>
      <c r="Q623">
        <f t="shared" si="28"/>
        <v>6</v>
      </c>
      <c r="R623" s="21"/>
    </row>
    <row r="624" spans="1:18" x14ac:dyDescent="0.3">
      <c r="A624" s="14">
        <v>7433</v>
      </c>
      <c r="B624" s="8" t="s">
        <v>96</v>
      </c>
      <c r="C624" s="15" t="s">
        <v>1687</v>
      </c>
      <c r="D624" s="16">
        <v>8699261146583</v>
      </c>
      <c r="E624" s="14" t="s">
        <v>1688</v>
      </c>
      <c r="F624" s="17" t="s">
        <v>1689</v>
      </c>
      <c r="G624" s="18">
        <v>75</v>
      </c>
      <c r="I624" s="18">
        <v>1</v>
      </c>
      <c r="J624" s="8" t="s">
        <v>100</v>
      </c>
      <c r="K624" s="14">
        <v>999</v>
      </c>
      <c r="L624" s="14" t="s">
        <v>233</v>
      </c>
      <c r="M624" s="20" t="s">
        <v>1690</v>
      </c>
      <c r="N624" s="14" t="s">
        <v>234</v>
      </c>
      <c r="O624" s="12">
        <f t="shared" si="27"/>
        <v>10</v>
      </c>
      <c r="P624" t="str">
        <f t="shared" si="29"/>
        <v>SA9001/WT</v>
      </c>
      <c r="Q624">
        <f t="shared" si="28"/>
        <v>75</v>
      </c>
      <c r="R624" s="21"/>
    </row>
    <row r="625" spans="1:18" x14ac:dyDescent="0.3">
      <c r="A625" s="14">
        <v>1394</v>
      </c>
      <c r="B625" s="8" t="s">
        <v>96</v>
      </c>
      <c r="C625" s="15" t="s">
        <v>1691</v>
      </c>
      <c r="D625" s="16">
        <v>8697863929726</v>
      </c>
      <c r="E625" s="14" t="s">
        <v>1692</v>
      </c>
      <c r="F625" s="17" t="s">
        <v>1693</v>
      </c>
      <c r="G625" s="18">
        <v>622</v>
      </c>
      <c r="H625" s="19">
        <v>0</v>
      </c>
      <c r="I625" s="18">
        <v>2</v>
      </c>
      <c r="J625" s="8" t="s">
        <v>100</v>
      </c>
      <c r="K625" s="14">
        <v>349</v>
      </c>
      <c r="L625" s="14" t="s">
        <v>233</v>
      </c>
      <c r="M625" s="20" t="s">
        <v>922</v>
      </c>
      <c r="N625" s="14" t="s">
        <v>234</v>
      </c>
      <c r="O625" s="12">
        <f t="shared" si="27"/>
        <v>10</v>
      </c>
      <c r="P625" t="str">
        <f t="shared" si="29"/>
        <v>SCREENSAV</v>
      </c>
      <c r="Q625">
        <f t="shared" si="28"/>
        <v>622</v>
      </c>
      <c r="R625" s="21"/>
    </row>
    <row r="626" spans="1:18" x14ac:dyDescent="0.3">
      <c r="A626" s="14">
        <v>6948</v>
      </c>
      <c r="B626" s="8" t="s">
        <v>96</v>
      </c>
      <c r="C626" s="15" t="s">
        <v>63</v>
      </c>
      <c r="D626" s="16">
        <v>8806092123335</v>
      </c>
      <c r="E626" s="14" t="s">
        <v>1694</v>
      </c>
      <c r="F626" s="17" t="s">
        <v>1695</v>
      </c>
      <c r="G626" s="18">
        <v>3</v>
      </c>
      <c r="H626" s="19">
        <v>0</v>
      </c>
      <c r="I626" s="18">
        <v>0</v>
      </c>
      <c r="J626" s="8" t="s">
        <v>100</v>
      </c>
      <c r="K626" s="14">
        <v>3099</v>
      </c>
      <c r="L626" s="14" t="s">
        <v>233</v>
      </c>
      <c r="M626" s="20" t="s">
        <v>114</v>
      </c>
      <c r="N626" s="14" t="s">
        <v>234</v>
      </c>
      <c r="O626" s="12">
        <f t="shared" si="27"/>
        <v>10</v>
      </c>
      <c r="P626" t="str">
        <f t="shared" si="29"/>
        <v>VG-SCFA55</v>
      </c>
      <c r="Q626">
        <f t="shared" si="28"/>
        <v>3</v>
      </c>
      <c r="R626" s="21"/>
    </row>
    <row r="627" spans="1:18" x14ac:dyDescent="0.3">
      <c r="A627" s="14">
        <v>6502</v>
      </c>
      <c r="B627" s="8" t="s">
        <v>96</v>
      </c>
      <c r="C627" s="15" t="s">
        <v>64</v>
      </c>
      <c r="D627" s="16">
        <v>8806092183933</v>
      </c>
      <c r="E627" s="14" t="s">
        <v>1696</v>
      </c>
      <c r="F627" s="17" t="s">
        <v>1697</v>
      </c>
      <c r="G627" s="18">
        <v>2</v>
      </c>
      <c r="H627" s="19">
        <v>0</v>
      </c>
      <c r="I627" s="18">
        <v>1</v>
      </c>
      <c r="J627" s="8" t="s">
        <v>100</v>
      </c>
      <c r="K627" s="14">
        <v>4199</v>
      </c>
      <c r="L627" s="14" t="s">
        <v>233</v>
      </c>
      <c r="M627" s="20" t="s">
        <v>114</v>
      </c>
      <c r="N627" s="14" t="s">
        <v>234</v>
      </c>
      <c r="O627" s="12">
        <f t="shared" si="27"/>
        <v>10</v>
      </c>
      <c r="P627" t="str">
        <f t="shared" si="29"/>
        <v>VG-SCFA65</v>
      </c>
      <c r="Q627">
        <f t="shared" si="28"/>
        <v>2</v>
      </c>
      <c r="R627" s="21"/>
    </row>
    <row r="628" spans="1:18" x14ac:dyDescent="0.3">
      <c r="A628" s="14">
        <v>6856</v>
      </c>
      <c r="B628" s="8" t="s">
        <v>96</v>
      </c>
      <c r="C628" s="15" t="s">
        <v>65</v>
      </c>
      <c r="D628" s="16">
        <v>8806092122673</v>
      </c>
      <c r="E628" s="14" t="s">
        <v>1698</v>
      </c>
      <c r="F628" s="17" t="s">
        <v>1699</v>
      </c>
      <c r="G628" s="18">
        <v>2</v>
      </c>
      <c r="H628" s="19">
        <v>0</v>
      </c>
      <c r="I628" s="18">
        <v>0</v>
      </c>
      <c r="J628" s="8" t="s">
        <v>100</v>
      </c>
      <c r="K628" s="14">
        <v>4299</v>
      </c>
      <c r="L628" s="14" t="s">
        <v>233</v>
      </c>
      <c r="M628" s="20" t="s">
        <v>114</v>
      </c>
      <c r="N628" s="14" t="s">
        <v>234</v>
      </c>
      <c r="O628" s="12">
        <f t="shared" si="27"/>
        <v>10</v>
      </c>
      <c r="P628" t="str">
        <f t="shared" si="29"/>
        <v>VG-SCFA75</v>
      </c>
      <c r="Q628">
        <f t="shared" si="28"/>
        <v>2</v>
      </c>
      <c r="R628" s="21"/>
    </row>
    <row r="629" spans="1:18" x14ac:dyDescent="0.3">
      <c r="A629" s="14">
        <v>7445</v>
      </c>
      <c r="B629" s="8" t="s">
        <v>96</v>
      </c>
      <c r="C629" s="15" t="s">
        <v>66</v>
      </c>
      <c r="E629" s="14" t="s">
        <v>1700</v>
      </c>
      <c r="F629" s="17" t="s">
        <v>1701</v>
      </c>
      <c r="G629" s="18">
        <v>2</v>
      </c>
      <c r="H629" s="19">
        <v>0</v>
      </c>
      <c r="I629" s="18">
        <v>0</v>
      </c>
      <c r="J629" s="8" t="s">
        <v>100</v>
      </c>
      <c r="K629" s="14">
        <v>4180</v>
      </c>
      <c r="L629" s="14" t="s">
        <v>233</v>
      </c>
      <c r="M629" s="20" t="s">
        <v>114</v>
      </c>
      <c r="N629" s="14" t="s">
        <v>234</v>
      </c>
      <c r="O629" s="12">
        <f t="shared" si="27"/>
        <v>10</v>
      </c>
      <c r="P629" t="str">
        <f t="shared" si="29"/>
        <v>VG-SCFF75</v>
      </c>
      <c r="Q629">
        <f t="shared" si="28"/>
        <v>2</v>
      </c>
      <c r="R629" s="21"/>
    </row>
    <row r="630" spans="1:18" x14ac:dyDescent="0.3">
      <c r="A630" s="14">
        <v>2446</v>
      </c>
      <c r="B630" s="8" t="s">
        <v>96</v>
      </c>
      <c r="C630" s="15" t="s">
        <v>62</v>
      </c>
      <c r="D630" s="16">
        <v>8806085582002</v>
      </c>
      <c r="E630" s="14" t="s">
        <v>1702</v>
      </c>
      <c r="F630" s="17" t="s">
        <v>1703</v>
      </c>
      <c r="G630" s="18">
        <v>3</v>
      </c>
      <c r="H630" s="19">
        <v>0</v>
      </c>
      <c r="I630" s="18">
        <v>0</v>
      </c>
      <c r="J630" s="8" t="s">
        <v>100</v>
      </c>
      <c r="K630" s="14">
        <v>949</v>
      </c>
      <c r="L630" s="14" t="s">
        <v>233</v>
      </c>
      <c r="M630" s="20" t="s">
        <v>114</v>
      </c>
      <c r="N630" s="14" t="s">
        <v>234</v>
      </c>
      <c r="O630" s="12">
        <f t="shared" si="27"/>
        <v>10</v>
      </c>
      <c r="P630" t="str">
        <f t="shared" si="29"/>
        <v>SEK-1000/</v>
      </c>
      <c r="Q630">
        <f t="shared" si="28"/>
        <v>3</v>
      </c>
      <c r="R630" s="21"/>
    </row>
    <row r="631" spans="1:18" x14ac:dyDescent="0.3">
      <c r="A631" s="14">
        <v>7363</v>
      </c>
      <c r="B631" s="8" t="s">
        <v>96</v>
      </c>
      <c r="C631" s="15" t="s">
        <v>1704</v>
      </c>
      <c r="D631" s="16">
        <v>8697842801838</v>
      </c>
      <c r="E631" s="14" t="s">
        <v>1705</v>
      </c>
      <c r="F631" s="17" t="s">
        <v>1706</v>
      </c>
      <c r="G631" s="18">
        <v>1</v>
      </c>
      <c r="H631" s="19">
        <v>0</v>
      </c>
      <c r="I631" s="18">
        <v>1</v>
      </c>
      <c r="J631" s="8" t="s">
        <v>100</v>
      </c>
      <c r="K631" s="14">
        <v>999</v>
      </c>
      <c r="L631" s="14" t="s">
        <v>233</v>
      </c>
      <c r="M631" s="20" t="s">
        <v>1707</v>
      </c>
      <c r="N631" s="14" t="s">
        <v>234</v>
      </c>
      <c r="O631" s="12">
        <f t="shared" si="27"/>
        <v>10</v>
      </c>
      <c r="P631" t="str">
        <f t="shared" si="29"/>
        <v>TSK19020</v>
      </c>
      <c r="Q631">
        <f t="shared" si="28"/>
        <v>1</v>
      </c>
      <c r="R631" s="21"/>
    </row>
    <row r="632" spans="1:18" x14ac:dyDescent="0.3">
      <c r="A632" s="14">
        <v>5156</v>
      </c>
      <c r="B632" s="8" t="s">
        <v>96</v>
      </c>
      <c r="C632" s="15">
        <v>20275276</v>
      </c>
      <c r="D632" s="16">
        <v>8698902752763</v>
      </c>
      <c r="E632" s="14" t="s">
        <v>1708</v>
      </c>
      <c r="F632" s="17" t="s">
        <v>1709</v>
      </c>
      <c r="G632" s="18">
        <v>2</v>
      </c>
      <c r="H632" s="19">
        <v>0</v>
      </c>
      <c r="I632" s="18">
        <v>0</v>
      </c>
      <c r="J632" s="8" t="s">
        <v>100</v>
      </c>
      <c r="K632" s="14">
        <v>7799</v>
      </c>
      <c r="L632" s="14" t="s">
        <v>229</v>
      </c>
      <c r="M632" s="20" t="s">
        <v>237</v>
      </c>
      <c r="N632" s="14" t="s">
        <v>230</v>
      </c>
      <c r="O632" s="12">
        <f t="shared" si="27"/>
        <v>10</v>
      </c>
      <c r="P632" t="str">
        <f t="shared" si="29"/>
        <v>20275276</v>
      </c>
      <c r="Q632">
        <f t="shared" si="28"/>
        <v>2</v>
      </c>
      <c r="R632" s="21"/>
    </row>
    <row r="633" spans="1:18" x14ac:dyDescent="0.3">
      <c r="A633" s="14">
        <v>3361</v>
      </c>
      <c r="B633" s="8" t="s">
        <v>96</v>
      </c>
      <c r="C633" s="15">
        <v>20274960</v>
      </c>
      <c r="D633" s="16">
        <v>8698902711333</v>
      </c>
      <c r="E633" s="14" t="s">
        <v>1710</v>
      </c>
      <c r="F633" s="17" t="s">
        <v>1711</v>
      </c>
      <c r="G633" s="18">
        <v>1</v>
      </c>
      <c r="H633" s="19">
        <v>0</v>
      </c>
      <c r="I633" s="18">
        <v>0</v>
      </c>
      <c r="J633" s="8" t="s">
        <v>100</v>
      </c>
      <c r="K633" s="14">
        <v>7799</v>
      </c>
      <c r="L633" s="14" t="s">
        <v>229</v>
      </c>
      <c r="M633" s="20" t="s">
        <v>237</v>
      </c>
      <c r="N633" s="14" t="s">
        <v>230</v>
      </c>
      <c r="O633" s="12">
        <f t="shared" si="27"/>
        <v>10</v>
      </c>
      <c r="P633" t="str">
        <f t="shared" si="29"/>
        <v>20274960</v>
      </c>
      <c r="Q633">
        <f t="shared" si="28"/>
        <v>1</v>
      </c>
      <c r="R633" s="21"/>
    </row>
    <row r="634" spans="1:18" x14ac:dyDescent="0.3">
      <c r="A634" s="14">
        <v>4621</v>
      </c>
      <c r="B634" s="8" t="s">
        <v>96</v>
      </c>
      <c r="C634" s="15">
        <v>20270720</v>
      </c>
      <c r="D634" s="16">
        <v>8698902707206</v>
      </c>
      <c r="E634" s="14" t="s">
        <v>1712</v>
      </c>
      <c r="F634" s="17" t="s">
        <v>1713</v>
      </c>
      <c r="G634" s="18">
        <v>5</v>
      </c>
      <c r="H634" s="19">
        <v>0</v>
      </c>
      <c r="I634" s="18">
        <v>0</v>
      </c>
      <c r="J634" s="8" t="s">
        <v>100</v>
      </c>
      <c r="K634" s="14">
        <v>10299</v>
      </c>
      <c r="L634" s="14" t="s">
        <v>229</v>
      </c>
      <c r="M634" s="20" t="s">
        <v>237</v>
      </c>
      <c r="N634" s="14" t="s">
        <v>230</v>
      </c>
      <c r="O634" s="12">
        <f t="shared" si="27"/>
        <v>10</v>
      </c>
      <c r="P634" t="str">
        <f t="shared" si="29"/>
        <v>20270720</v>
      </c>
      <c r="Q634">
        <f t="shared" si="28"/>
        <v>5</v>
      </c>
      <c r="R634" s="21"/>
    </row>
    <row r="635" spans="1:18" x14ac:dyDescent="0.3">
      <c r="A635" s="14">
        <v>4622</v>
      </c>
      <c r="B635" s="8" t="s">
        <v>96</v>
      </c>
      <c r="C635" s="15">
        <v>20270722</v>
      </c>
      <c r="D635" s="16">
        <v>8698902707220</v>
      </c>
      <c r="E635" s="14" t="s">
        <v>1714</v>
      </c>
      <c r="F635" s="17" t="s">
        <v>1715</v>
      </c>
      <c r="G635" s="18">
        <v>1</v>
      </c>
      <c r="H635" s="19">
        <v>0</v>
      </c>
      <c r="I635" s="18">
        <v>0</v>
      </c>
      <c r="J635" s="8" t="s">
        <v>100</v>
      </c>
      <c r="K635" s="14">
        <v>10299</v>
      </c>
      <c r="L635" s="14" t="s">
        <v>229</v>
      </c>
      <c r="M635" s="20" t="s">
        <v>237</v>
      </c>
      <c r="N635" s="14" t="s">
        <v>230</v>
      </c>
      <c r="O635" s="12">
        <f t="shared" si="27"/>
        <v>10</v>
      </c>
      <c r="P635" t="str">
        <f t="shared" si="29"/>
        <v>20270722</v>
      </c>
      <c r="Q635">
        <f t="shared" si="28"/>
        <v>1</v>
      </c>
      <c r="R635" s="21"/>
    </row>
    <row r="636" spans="1:18" x14ac:dyDescent="0.3">
      <c r="A636" s="14">
        <v>6267</v>
      </c>
      <c r="B636" s="8" t="s">
        <v>96</v>
      </c>
      <c r="C636" s="15">
        <v>20276722</v>
      </c>
      <c r="D636" s="16">
        <v>8698902767224</v>
      </c>
      <c r="E636" s="14" t="s">
        <v>1716</v>
      </c>
      <c r="F636" s="17" t="s">
        <v>1717</v>
      </c>
      <c r="G636" s="18">
        <v>1</v>
      </c>
      <c r="H636" s="19">
        <v>0</v>
      </c>
      <c r="I636" s="18">
        <v>0</v>
      </c>
      <c r="J636" s="8" t="s">
        <v>100</v>
      </c>
      <c r="K636" s="14">
        <v>12199</v>
      </c>
      <c r="L636" s="14" t="s">
        <v>229</v>
      </c>
      <c r="M636" s="20" t="s">
        <v>237</v>
      </c>
      <c r="N636" s="14" t="s">
        <v>230</v>
      </c>
      <c r="O636" s="12">
        <f t="shared" si="27"/>
        <v>10</v>
      </c>
      <c r="P636" t="str">
        <f t="shared" si="29"/>
        <v>20276722</v>
      </c>
      <c r="Q636">
        <f t="shared" si="28"/>
        <v>1</v>
      </c>
      <c r="R636" s="21"/>
    </row>
    <row r="637" spans="1:18" x14ac:dyDescent="0.3">
      <c r="A637" s="14">
        <v>5553</v>
      </c>
      <c r="B637" s="8" t="s">
        <v>96</v>
      </c>
      <c r="C637" s="15">
        <v>20275508</v>
      </c>
      <c r="D637" s="16">
        <v>8698902755085</v>
      </c>
      <c r="E637" s="14" t="s">
        <v>1718</v>
      </c>
      <c r="F637" s="17" t="s">
        <v>1719</v>
      </c>
      <c r="G637" s="18">
        <v>1</v>
      </c>
      <c r="H637" s="19">
        <v>0</v>
      </c>
      <c r="I637" s="18">
        <v>0</v>
      </c>
      <c r="J637" s="8" t="s">
        <v>100</v>
      </c>
      <c r="K637" s="14">
        <v>12199</v>
      </c>
      <c r="L637" s="14" t="s">
        <v>229</v>
      </c>
      <c r="M637" s="20" t="s">
        <v>237</v>
      </c>
      <c r="N637" s="14" t="s">
        <v>230</v>
      </c>
      <c r="O637" s="12">
        <f t="shared" si="27"/>
        <v>10</v>
      </c>
      <c r="P637" t="str">
        <f t="shared" si="29"/>
        <v>20275508</v>
      </c>
      <c r="Q637">
        <f t="shared" si="28"/>
        <v>1</v>
      </c>
      <c r="R637" s="21"/>
    </row>
    <row r="638" spans="1:18" x14ac:dyDescent="0.3">
      <c r="A638" s="14">
        <v>6270</v>
      </c>
      <c r="B638" s="8" t="s">
        <v>96</v>
      </c>
      <c r="C638" s="15">
        <v>20276476</v>
      </c>
      <c r="D638" s="16">
        <v>8698902764766</v>
      </c>
      <c r="E638" s="14" t="s">
        <v>1720</v>
      </c>
      <c r="F638" s="17" t="s">
        <v>1721</v>
      </c>
      <c r="G638" s="18">
        <v>1</v>
      </c>
      <c r="H638" s="19">
        <v>0</v>
      </c>
      <c r="I638" s="18">
        <v>0</v>
      </c>
      <c r="J638" s="8" t="s">
        <v>100</v>
      </c>
      <c r="K638" s="14">
        <v>16899</v>
      </c>
      <c r="L638" s="14" t="s">
        <v>229</v>
      </c>
      <c r="M638" s="20" t="s">
        <v>237</v>
      </c>
      <c r="N638" s="14" t="s">
        <v>230</v>
      </c>
      <c r="O638" s="12">
        <f t="shared" si="27"/>
        <v>10</v>
      </c>
      <c r="P638" t="str">
        <f t="shared" si="29"/>
        <v>20276476</v>
      </c>
      <c r="Q638">
        <f t="shared" si="28"/>
        <v>1</v>
      </c>
      <c r="R638" s="21"/>
    </row>
    <row r="639" spans="1:18" x14ac:dyDescent="0.3">
      <c r="A639" s="14">
        <v>6272</v>
      </c>
      <c r="B639" s="8" t="s">
        <v>96</v>
      </c>
      <c r="C639" s="15">
        <v>20276505</v>
      </c>
      <c r="D639" s="16">
        <v>8698902765053</v>
      </c>
      <c r="E639" s="14" t="s">
        <v>1722</v>
      </c>
      <c r="F639" s="17" t="s">
        <v>1723</v>
      </c>
      <c r="G639" s="18">
        <v>1</v>
      </c>
      <c r="H639" s="19">
        <v>0</v>
      </c>
      <c r="I639" s="18">
        <v>0</v>
      </c>
      <c r="J639" s="8" t="s">
        <v>100</v>
      </c>
      <c r="K639" s="14">
        <v>16899</v>
      </c>
      <c r="L639" s="14" t="s">
        <v>229</v>
      </c>
      <c r="M639" s="20" t="s">
        <v>237</v>
      </c>
      <c r="N639" s="14" t="s">
        <v>230</v>
      </c>
      <c r="O639" s="12">
        <f t="shared" si="27"/>
        <v>10</v>
      </c>
      <c r="P639" t="str">
        <f t="shared" si="29"/>
        <v>20276505</v>
      </c>
      <c r="Q639">
        <f t="shared" si="28"/>
        <v>1</v>
      </c>
      <c r="R639" s="21"/>
    </row>
    <row r="640" spans="1:18" x14ac:dyDescent="0.3">
      <c r="A640" s="14">
        <v>6271</v>
      </c>
      <c r="B640" s="8" t="s">
        <v>96</v>
      </c>
      <c r="C640" s="15">
        <v>20276504</v>
      </c>
      <c r="D640" s="16">
        <v>8698902765046</v>
      </c>
      <c r="E640" s="14" t="s">
        <v>1724</v>
      </c>
      <c r="F640" s="17" t="s">
        <v>1725</v>
      </c>
      <c r="G640" s="18">
        <v>1</v>
      </c>
      <c r="H640" s="19">
        <v>0</v>
      </c>
      <c r="I640" s="18">
        <v>0</v>
      </c>
      <c r="J640" s="8" t="s">
        <v>100</v>
      </c>
      <c r="K640" s="14">
        <v>16899</v>
      </c>
      <c r="L640" s="14" t="s">
        <v>229</v>
      </c>
      <c r="M640" s="20" t="s">
        <v>237</v>
      </c>
      <c r="N640" s="14" t="s">
        <v>230</v>
      </c>
      <c r="O640" s="12">
        <f t="shared" si="27"/>
        <v>10</v>
      </c>
      <c r="P640" t="str">
        <f t="shared" si="29"/>
        <v>20276504</v>
      </c>
      <c r="Q640">
        <f t="shared" si="28"/>
        <v>1</v>
      </c>
      <c r="R640" s="21"/>
    </row>
    <row r="641" spans="1:18" x14ac:dyDescent="0.3">
      <c r="A641" s="14">
        <v>5642</v>
      </c>
      <c r="B641" s="8" t="s">
        <v>96</v>
      </c>
      <c r="C641" s="15">
        <v>20275855</v>
      </c>
      <c r="D641" s="16">
        <v>8698902758550</v>
      </c>
      <c r="E641" s="14" t="s">
        <v>1726</v>
      </c>
      <c r="F641" s="17" t="s">
        <v>1727</v>
      </c>
      <c r="G641" s="18">
        <v>1</v>
      </c>
      <c r="H641" s="19">
        <v>0</v>
      </c>
      <c r="I641" s="18">
        <v>0</v>
      </c>
      <c r="J641" s="8" t="s">
        <v>100</v>
      </c>
      <c r="K641" s="14">
        <v>16899</v>
      </c>
      <c r="L641" s="14" t="s">
        <v>229</v>
      </c>
      <c r="M641" s="20" t="s">
        <v>237</v>
      </c>
      <c r="N641" s="14" t="s">
        <v>230</v>
      </c>
      <c r="O641" s="12">
        <f t="shared" si="27"/>
        <v>10</v>
      </c>
      <c r="P641" t="str">
        <f t="shared" si="29"/>
        <v>20275855</v>
      </c>
      <c r="Q641">
        <f t="shared" si="28"/>
        <v>1</v>
      </c>
      <c r="R641" s="21"/>
    </row>
    <row r="642" spans="1:18" x14ac:dyDescent="0.3">
      <c r="A642" s="14">
        <v>6826</v>
      </c>
      <c r="B642" s="8" t="s">
        <v>96</v>
      </c>
      <c r="C642" s="15">
        <v>20278286</v>
      </c>
      <c r="D642" s="16">
        <v>8698902782869</v>
      </c>
      <c r="E642" s="14" t="s">
        <v>1728</v>
      </c>
      <c r="F642" s="17" t="s">
        <v>1729</v>
      </c>
      <c r="G642" s="18">
        <v>1</v>
      </c>
      <c r="H642" s="19">
        <v>0</v>
      </c>
      <c r="I642" s="18">
        <v>0</v>
      </c>
      <c r="J642" s="8" t="s">
        <v>100</v>
      </c>
      <c r="K642" s="14">
        <v>18799</v>
      </c>
      <c r="L642" s="14" t="s">
        <v>229</v>
      </c>
      <c r="M642" s="20" t="s">
        <v>237</v>
      </c>
      <c r="N642" s="14" t="s">
        <v>230</v>
      </c>
      <c r="O642" s="12">
        <f t="shared" si="27"/>
        <v>10</v>
      </c>
      <c r="P642" t="str">
        <f t="shared" si="29"/>
        <v>20278286</v>
      </c>
      <c r="Q642">
        <f t="shared" si="28"/>
        <v>1</v>
      </c>
      <c r="R642" s="21"/>
    </row>
    <row r="643" spans="1:18" x14ac:dyDescent="0.3">
      <c r="A643" s="14">
        <v>5799</v>
      </c>
      <c r="B643" s="8" t="s">
        <v>96</v>
      </c>
      <c r="C643" s="15">
        <v>20276126</v>
      </c>
      <c r="D643" s="16">
        <v>8698902761260</v>
      </c>
      <c r="E643" s="14" t="s">
        <v>1730</v>
      </c>
      <c r="F643" s="17" t="s">
        <v>1731</v>
      </c>
      <c r="G643" s="18">
        <v>1</v>
      </c>
      <c r="H643" s="19">
        <v>0</v>
      </c>
      <c r="I643" s="18">
        <v>0</v>
      </c>
      <c r="J643" s="8" t="s">
        <v>100</v>
      </c>
      <c r="K643" s="14">
        <v>18099</v>
      </c>
      <c r="L643" s="14" t="s">
        <v>229</v>
      </c>
      <c r="M643" s="20" t="s">
        <v>237</v>
      </c>
      <c r="N643" s="14" t="s">
        <v>230</v>
      </c>
      <c r="O643" s="12">
        <f t="shared" ref="O643:O706" si="30">IF(C643&gt;0,10-COUNTIF(AM643:AW643,"-"),"")</f>
        <v>10</v>
      </c>
      <c r="P643" t="str">
        <f t="shared" si="29"/>
        <v>20276126</v>
      </c>
      <c r="Q643">
        <f t="shared" ref="Q643:Q706" si="31">G643-H643</f>
        <v>1</v>
      </c>
      <c r="R643" s="21"/>
    </row>
    <row r="644" spans="1:18" x14ac:dyDescent="0.3">
      <c r="A644" s="14">
        <v>7120</v>
      </c>
      <c r="B644" s="8" t="s">
        <v>96</v>
      </c>
      <c r="C644" s="15">
        <v>20278780</v>
      </c>
      <c r="D644" s="16">
        <v>8698902787802</v>
      </c>
      <c r="E644" s="14" t="s">
        <v>1732</v>
      </c>
      <c r="F644" s="17" t="s">
        <v>1733</v>
      </c>
      <c r="G644" s="18">
        <v>2</v>
      </c>
      <c r="H644" s="19">
        <v>0</v>
      </c>
      <c r="I644" s="18">
        <v>0</v>
      </c>
      <c r="J644" s="8" t="s">
        <v>100</v>
      </c>
      <c r="K644" s="14">
        <v>18799</v>
      </c>
      <c r="L644" s="14" t="s">
        <v>229</v>
      </c>
      <c r="M644" s="20" t="s">
        <v>237</v>
      </c>
      <c r="N644" s="14" t="s">
        <v>230</v>
      </c>
      <c r="O644" s="12">
        <f t="shared" si="30"/>
        <v>10</v>
      </c>
      <c r="P644" t="str">
        <f t="shared" ref="P644:P707" si="32">IF(LEFT(C644,2)="SM",CONCATENATE(LEFT(C644,7),"✦",MID(C644,11,1)),LEFT(C644,9))</f>
        <v>20278780</v>
      </c>
      <c r="Q644">
        <f t="shared" si="31"/>
        <v>2</v>
      </c>
      <c r="R644" s="21"/>
    </row>
    <row r="645" spans="1:18" x14ac:dyDescent="0.3">
      <c r="A645" s="14">
        <v>7389</v>
      </c>
      <c r="B645" s="8" t="s">
        <v>96</v>
      </c>
      <c r="C645" s="15">
        <v>20300380</v>
      </c>
      <c r="D645" s="16">
        <v>8698902008877</v>
      </c>
      <c r="E645" s="14" t="s">
        <v>1734</v>
      </c>
      <c r="F645" s="17" t="s">
        <v>1735</v>
      </c>
      <c r="G645" s="18">
        <v>2</v>
      </c>
      <c r="I645" s="18">
        <v>0</v>
      </c>
      <c r="J645" s="8" t="s">
        <v>100</v>
      </c>
      <c r="K645" s="14">
        <v>20399</v>
      </c>
      <c r="L645" s="14" t="s">
        <v>229</v>
      </c>
      <c r="M645" s="20" t="s">
        <v>237</v>
      </c>
      <c r="N645" s="14" t="s">
        <v>230</v>
      </c>
      <c r="O645" s="12">
        <f t="shared" si="30"/>
        <v>10</v>
      </c>
      <c r="P645" t="str">
        <f t="shared" si="32"/>
        <v>20300380</v>
      </c>
      <c r="Q645">
        <f t="shared" si="31"/>
        <v>2</v>
      </c>
      <c r="R645" s="21"/>
    </row>
    <row r="646" spans="1:18" x14ac:dyDescent="0.3">
      <c r="A646" s="14">
        <v>5946</v>
      </c>
      <c r="B646" s="8" t="s">
        <v>96</v>
      </c>
      <c r="C646" s="15">
        <v>20276162</v>
      </c>
      <c r="D646" s="16">
        <v>8698902761628</v>
      </c>
      <c r="E646" s="14" t="s">
        <v>1736</v>
      </c>
      <c r="F646" s="17" t="s">
        <v>1737</v>
      </c>
      <c r="G646" s="18">
        <v>1</v>
      </c>
      <c r="H646" s="19">
        <v>0</v>
      </c>
      <c r="I646" s="18">
        <v>0</v>
      </c>
      <c r="J646" s="8" t="s">
        <v>100</v>
      </c>
      <c r="K646" s="14">
        <v>24999</v>
      </c>
      <c r="L646" s="14" t="s">
        <v>229</v>
      </c>
      <c r="M646" s="20" t="s">
        <v>237</v>
      </c>
      <c r="N646" s="14" t="s">
        <v>230</v>
      </c>
      <c r="O646" s="12">
        <f t="shared" si="30"/>
        <v>10</v>
      </c>
      <c r="P646" t="str">
        <f t="shared" si="32"/>
        <v>20276162</v>
      </c>
      <c r="Q646">
        <f t="shared" si="31"/>
        <v>1</v>
      </c>
      <c r="R646" s="21"/>
    </row>
    <row r="647" spans="1:18" x14ac:dyDescent="0.3">
      <c r="A647" s="14">
        <v>6550</v>
      </c>
      <c r="B647" s="8" t="s">
        <v>96</v>
      </c>
      <c r="C647" s="15">
        <v>20278114</v>
      </c>
      <c r="D647" s="16">
        <v>8698902781145</v>
      </c>
      <c r="E647" s="14" t="s">
        <v>1738</v>
      </c>
      <c r="F647" s="17" t="s">
        <v>1739</v>
      </c>
      <c r="G647" s="18">
        <v>6</v>
      </c>
      <c r="H647" s="19">
        <v>0</v>
      </c>
      <c r="I647" s="18">
        <v>0</v>
      </c>
      <c r="J647" s="8" t="s">
        <v>100</v>
      </c>
      <c r="K647" s="14">
        <v>22499</v>
      </c>
      <c r="L647" s="14" t="s">
        <v>229</v>
      </c>
      <c r="M647" s="20" t="s">
        <v>237</v>
      </c>
      <c r="N647" s="14" t="s">
        <v>230</v>
      </c>
      <c r="O647" s="12">
        <f t="shared" si="30"/>
        <v>10</v>
      </c>
      <c r="P647" t="str">
        <f t="shared" si="32"/>
        <v>20278114</v>
      </c>
      <c r="Q647">
        <f t="shared" si="31"/>
        <v>6</v>
      </c>
      <c r="R647" s="21"/>
    </row>
    <row r="648" spans="1:18" x14ac:dyDescent="0.3">
      <c r="A648" s="14">
        <v>6704</v>
      </c>
      <c r="B648" s="8" t="s">
        <v>96</v>
      </c>
      <c r="C648" s="15">
        <v>20277954</v>
      </c>
      <c r="D648" s="16">
        <v>8698902779548</v>
      </c>
      <c r="E648" s="14" t="s">
        <v>1740</v>
      </c>
      <c r="F648" s="17" t="s">
        <v>1741</v>
      </c>
      <c r="G648" s="18">
        <v>7</v>
      </c>
      <c r="H648" s="19">
        <v>0</v>
      </c>
      <c r="I648" s="18">
        <v>0</v>
      </c>
      <c r="J648" s="8" t="s">
        <v>100</v>
      </c>
      <c r="K648" s="14">
        <v>24399</v>
      </c>
      <c r="L648" s="14" t="s">
        <v>229</v>
      </c>
      <c r="M648" s="20" t="s">
        <v>237</v>
      </c>
      <c r="N648" s="14" t="s">
        <v>230</v>
      </c>
      <c r="O648" s="12">
        <f t="shared" si="30"/>
        <v>10</v>
      </c>
      <c r="P648" t="str">
        <f t="shared" si="32"/>
        <v>20277954</v>
      </c>
      <c r="Q648">
        <f t="shared" si="31"/>
        <v>7</v>
      </c>
      <c r="R648" s="21"/>
    </row>
    <row r="649" spans="1:18" x14ac:dyDescent="0.3">
      <c r="A649" s="14">
        <v>6573</v>
      </c>
      <c r="B649" s="8" t="s">
        <v>96</v>
      </c>
      <c r="C649" s="15">
        <v>20278118</v>
      </c>
      <c r="D649" s="16">
        <v>8698902781183</v>
      </c>
      <c r="E649" s="14" t="s">
        <v>1742</v>
      </c>
      <c r="F649" s="17" t="s">
        <v>1743</v>
      </c>
      <c r="G649" s="18">
        <v>2</v>
      </c>
      <c r="H649" s="19">
        <v>0</v>
      </c>
      <c r="I649" s="18">
        <v>0</v>
      </c>
      <c r="J649" s="8" t="s">
        <v>100</v>
      </c>
      <c r="K649" s="14">
        <v>20599</v>
      </c>
      <c r="L649" s="14" t="s">
        <v>229</v>
      </c>
      <c r="M649" s="20" t="s">
        <v>237</v>
      </c>
      <c r="N649" s="14" t="s">
        <v>230</v>
      </c>
      <c r="O649" s="12">
        <f t="shared" si="30"/>
        <v>10</v>
      </c>
      <c r="P649" t="str">
        <f t="shared" si="32"/>
        <v>20278118</v>
      </c>
      <c r="Q649">
        <f t="shared" si="31"/>
        <v>2</v>
      </c>
      <c r="R649" s="21"/>
    </row>
    <row r="650" spans="1:18" x14ac:dyDescent="0.3">
      <c r="A650" s="14">
        <v>7145</v>
      </c>
      <c r="B650" s="8" t="s">
        <v>96</v>
      </c>
      <c r="C650" s="15">
        <v>20278782</v>
      </c>
      <c r="D650" s="16">
        <v>8698902787826</v>
      </c>
      <c r="E650" s="14" t="s">
        <v>1744</v>
      </c>
      <c r="F650" s="17" t="s">
        <v>1745</v>
      </c>
      <c r="G650" s="18">
        <v>4</v>
      </c>
      <c r="H650" s="19">
        <v>0</v>
      </c>
      <c r="I650" s="18">
        <v>0</v>
      </c>
      <c r="J650" s="8" t="s">
        <v>100</v>
      </c>
      <c r="K650" s="14">
        <v>22499</v>
      </c>
      <c r="L650" s="14" t="s">
        <v>229</v>
      </c>
      <c r="M650" s="20" t="s">
        <v>237</v>
      </c>
      <c r="N650" s="14" t="s">
        <v>230</v>
      </c>
      <c r="O650" s="12">
        <f t="shared" si="30"/>
        <v>10</v>
      </c>
      <c r="P650" t="str">
        <f t="shared" si="32"/>
        <v>20278782</v>
      </c>
      <c r="Q650">
        <f t="shared" si="31"/>
        <v>4</v>
      </c>
      <c r="R650" s="21"/>
    </row>
    <row r="651" spans="1:18" x14ac:dyDescent="0.3">
      <c r="A651" s="14">
        <v>6562</v>
      </c>
      <c r="B651" s="8" t="s">
        <v>96</v>
      </c>
      <c r="C651" s="15">
        <v>20277112</v>
      </c>
      <c r="D651" s="16">
        <v>8698902771122</v>
      </c>
      <c r="E651" s="14" t="s">
        <v>1746</v>
      </c>
      <c r="F651" s="17" t="s">
        <v>1747</v>
      </c>
      <c r="G651" s="18">
        <v>11</v>
      </c>
      <c r="H651" s="19">
        <v>0</v>
      </c>
      <c r="I651" s="18">
        <v>0</v>
      </c>
      <c r="J651" s="8" t="s">
        <v>100</v>
      </c>
      <c r="K651" s="14">
        <v>32199</v>
      </c>
      <c r="L651" s="14" t="s">
        <v>229</v>
      </c>
      <c r="M651" s="20" t="s">
        <v>237</v>
      </c>
      <c r="N651" s="14" t="s">
        <v>230</v>
      </c>
      <c r="O651" s="12">
        <f t="shared" si="30"/>
        <v>10</v>
      </c>
      <c r="P651" t="str">
        <f t="shared" si="32"/>
        <v>20277112</v>
      </c>
      <c r="Q651">
        <f t="shared" si="31"/>
        <v>11</v>
      </c>
      <c r="R651" s="21"/>
    </row>
    <row r="652" spans="1:18" x14ac:dyDescent="0.3">
      <c r="A652" s="14">
        <v>7505</v>
      </c>
      <c r="B652" s="8" t="s">
        <v>96</v>
      </c>
      <c r="C652" s="15">
        <v>20300423</v>
      </c>
      <c r="D652" s="16">
        <v>8698902008914</v>
      </c>
      <c r="E652" s="14" t="s">
        <v>1748</v>
      </c>
      <c r="F652" s="17" t="s">
        <v>1749</v>
      </c>
      <c r="G652" s="18">
        <v>15</v>
      </c>
      <c r="I652" s="18">
        <v>0</v>
      </c>
      <c r="J652" s="8" t="s">
        <v>100</v>
      </c>
      <c r="K652" s="14">
        <v>28999</v>
      </c>
      <c r="L652" s="14" t="s">
        <v>229</v>
      </c>
      <c r="M652" s="20" t="s">
        <v>237</v>
      </c>
      <c r="N652" s="14" t="s">
        <v>230</v>
      </c>
      <c r="O652" s="12">
        <f t="shared" si="30"/>
        <v>10</v>
      </c>
      <c r="P652" t="str">
        <f t="shared" si="32"/>
        <v>20300423</v>
      </c>
      <c r="Q652">
        <f t="shared" si="31"/>
        <v>15</v>
      </c>
      <c r="R652" s="21"/>
    </row>
    <row r="653" spans="1:18" x14ac:dyDescent="0.3">
      <c r="A653" s="14">
        <v>7503</v>
      </c>
      <c r="B653" s="8" t="s">
        <v>96</v>
      </c>
      <c r="C653" s="15">
        <v>20300376</v>
      </c>
      <c r="D653" s="16">
        <v>8698902008938</v>
      </c>
      <c r="E653" s="14" t="s">
        <v>1750</v>
      </c>
      <c r="F653" s="17" t="s">
        <v>1751</v>
      </c>
      <c r="G653" s="18">
        <v>8</v>
      </c>
      <c r="I653" s="18">
        <v>0</v>
      </c>
      <c r="J653" s="8" t="s">
        <v>100</v>
      </c>
      <c r="K653" s="14">
        <v>27999</v>
      </c>
      <c r="L653" s="14" t="s">
        <v>229</v>
      </c>
      <c r="M653" s="20" t="s">
        <v>237</v>
      </c>
      <c r="N653" s="14" t="s">
        <v>230</v>
      </c>
      <c r="O653" s="12">
        <f t="shared" si="30"/>
        <v>10</v>
      </c>
      <c r="P653" t="str">
        <f t="shared" si="32"/>
        <v>20300376</v>
      </c>
      <c r="Q653">
        <f t="shared" si="31"/>
        <v>8</v>
      </c>
      <c r="R653" s="21"/>
    </row>
    <row r="654" spans="1:18" x14ac:dyDescent="0.3">
      <c r="A654" s="14">
        <v>5957</v>
      </c>
      <c r="B654" s="8" t="s">
        <v>96</v>
      </c>
      <c r="C654" s="15">
        <v>20276097</v>
      </c>
      <c r="D654" s="16">
        <v>8698902760973</v>
      </c>
      <c r="E654" s="14" t="s">
        <v>1752</v>
      </c>
      <c r="F654" s="17" t="s">
        <v>1753</v>
      </c>
      <c r="G654" s="18">
        <v>1</v>
      </c>
      <c r="H654" s="19">
        <v>0</v>
      </c>
      <c r="I654" s="18">
        <v>0</v>
      </c>
      <c r="J654" s="8" t="s">
        <v>100</v>
      </c>
      <c r="K654" s="14">
        <v>36549</v>
      </c>
      <c r="L654" s="14" t="s">
        <v>229</v>
      </c>
      <c r="M654" s="20" t="s">
        <v>237</v>
      </c>
      <c r="N654" s="14" t="s">
        <v>230</v>
      </c>
      <c r="O654" s="12">
        <f t="shared" si="30"/>
        <v>10</v>
      </c>
      <c r="P654" t="str">
        <f t="shared" si="32"/>
        <v>20276097</v>
      </c>
      <c r="Q654">
        <f t="shared" si="31"/>
        <v>1</v>
      </c>
      <c r="R654" s="21"/>
    </row>
    <row r="655" spans="1:18" x14ac:dyDescent="0.3">
      <c r="A655" s="14">
        <v>7240</v>
      </c>
      <c r="B655" s="8" t="s">
        <v>96</v>
      </c>
      <c r="C655" s="15">
        <v>20278696</v>
      </c>
      <c r="D655" s="16">
        <v>8698902786966</v>
      </c>
      <c r="E655" s="14" t="s">
        <v>1754</v>
      </c>
      <c r="F655" s="17" t="s">
        <v>1755</v>
      </c>
      <c r="G655" s="18">
        <v>47</v>
      </c>
      <c r="I655" s="18">
        <v>0</v>
      </c>
      <c r="J655" s="8" t="s">
        <v>100</v>
      </c>
      <c r="K655" s="14">
        <v>30749</v>
      </c>
      <c r="L655" s="14" t="s">
        <v>229</v>
      </c>
      <c r="M655" s="20" t="s">
        <v>237</v>
      </c>
      <c r="N655" s="14" t="s">
        <v>230</v>
      </c>
      <c r="O655" s="12">
        <f t="shared" si="30"/>
        <v>10</v>
      </c>
      <c r="P655" t="str">
        <f t="shared" si="32"/>
        <v>20278696</v>
      </c>
      <c r="Q655">
        <f t="shared" si="31"/>
        <v>47</v>
      </c>
      <c r="R655" s="21"/>
    </row>
    <row r="656" spans="1:18" x14ac:dyDescent="0.3">
      <c r="A656" s="14">
        <v>7396</v>
      </c>
      <c r="B656" s="8" t="s">
        <v>96</v>
      </c>
      <c r="C656" s="15">
        <v>20300368</v>
      </c>
      <c r="D656" s="16">
        <v>8698902008976</v>
      </c>
      <c r="E656" s="14" t="s">
        <v>1756</v>
      </c>
      <c r="F656" s="17" t="s">
        <v>1757</v>
      </c>
      <c r="G656" s="18">
        <v>1</v>
      </c>
      <c r="I656" s="18">
        <v>0</v>
      </c>
      <c r="J656" s="8" t="s">
        <v>100</v>
      </c>
      <c r="K656" s="14">
        <v>32799</v>
      </c>
      <c r="L656" s="14" t="s">
        <v>229</v>
      </c>
      <c r="M656" s="20" t="s">
        <v>237</v>
      </c>
      <c r="N656" s="14" t="s">
        <v>230</v>
      </c>
      <c r="O656" s="12">
        <f t="shared" si="30"/>
        <v>10</v>
      </c>
      <c r="P656" t="str">
        <f t="shared" si="32"/>
        <v>20300368</v>
      </c>
      <c r="Q656">
        <f t="shared" si="31"/>
        <v>1</v>
      </c>
      <c r="R656" s="21"/>
    </row>
    <row r="657" spans="1:18" x14ac:dyDescent="0.3">
      <c r="A657" s="14">
        <v>6601</v>
      </c>
      <c r="B657" s="8" t="s">
        <v>96</v>
      </c>
      <c r="C657" s="15">
        <v>20278116</v>
      </c>
      <c r="D657" s="16">
        <v>8698902781169</v>
      </c>
      <c r="E657" s="14" t="s">
        <v>1758</v>
      </c>
      <c r="F657" s="17" t="s">
        <v>1759</v>
      </c>
      <c r="G657" s="18">
        <v>18</v>
      </c>
      <c r="H657" s="19">
        <v>0</v>
      </c>
      <c r="I657" s="18">
        <v>2</v>
      </c>
      <c r="J657" s="8" t="s">
        <v>100</v>
      </c>
      <c r="K657" s="14">
        <v>27799</v>
      </c>
      <c r="L657" s="14" t="s">
        <v>229</v>
      </c>
      <c r="M657" s="20" t="s">
        <v>237</v>
      </c>
      <c r="N657" s="14" t="s">
        <v>230</v>
      </c>
      <c r="O657" s="12">
        <f t="shared" si="30"/>
        <v>10</v>
      </c>
      <c r="P657" t="str">
        <f t="shared" si="32"/>
        <v>20278116</v>
      </c>
      <c r="Q657">
        <f t="shared" si="31"/>
        <v>18</v>
      </c>
      <c r="R657" s="21"/>
    </row>
    <row r="658" spans="1:18" x14ac:dyDescent="0.3">
      <c r="A658" s="14">
        <v>6198</v>
      </c>
      <c r="B658" s="8" t="s">
        <v>96</v>
      </c>
      <c r="C658" s="15">
        <v>20276562</v>
      </c>
      <c r="D658" s="16">
        <v>8698902765626</v>
      </c>
      <c r="E658" s="14" t="s">
        <v>1760</v>
      </c>
      <c r="F658" s="17" t="s">
        <v>1761</v>
      </c>
      <c r="G658" s="18">
        <v>2</v>
      </c>
      <c r="H658" s="19">
        <v>0</v>
      </c>
      <c r="I658" s="18">
        <v>0</v>
      </c>
      <c r="J658" s="8" t="s">
        <v>100</v>
      </c>
      <c r="K658" s="14">
        <v>35649</v>
      </c>
      <c r="L658" s="14" t="s">
        <v>229</v>
      </c>
      <c r="M658" s="20" t="s">
        <v>237</v>
      </c>
      <c r="N658" s="14" t="s">
        <v>230</v>
      </c>
      <c r="O658" s="12">
        <f t="shared" si="30"/>
        <v>10</v>
      </c>
      <c r="P658" t="str">
        <f t="shared" si="32"/>
        <v>20276562</v>
      </c>
      <c r="Q658">
        <f t="shared" si="31"/>
        <v>2</v>
      </c>
      <c r="R658" s="21"/>
    </row>
    <row r="659" spans="1:18" x14ac:dyDescent="0.3">
      <c r="A659" s="14">
        <v>6635</v>
      </c>
      <c r="B659" s="8" t="s">
        <v>96</v>
      </c>
      <c r="C659" s="15">
        <v>20278120</v>
      </c>
      <c r="D659" s="16">
        <v>8698902781206</v>
      </c>
      <c r="E659" s="14" t="s">
        <v>1762</v>
      </c>
      <c r="F659" s="17" t="s">
        <v>1763</v>
      </c>
      <c r="G659" s="18">
        <v>10</v>
      </c>
      <c r="H659" s="19">
        <v>0</v>
      </c>
      <c r="I659" s="18">
        <v>0</v>
      </c>
      <c r="J659" s="8" t="s">
        <v>100</v>
      </c>
      <c r="K659" s="14">
        <v>29599</v>
      </c>
      <c r="L659" s="14" t="s">
        <v>229</v>
      </c>
      <c r="M659" s="20" t="s">
        <v>237</v>
      </c>
      <c r="N659" s="14" t="s">
        <v>230</v>
      </c>
      <c r="O659" s="12">
        <f t="shared" si="30"/>
        <v>10</v>
      </c>
      <c r="P659" t="str">
        <f t="shared" si="32"/>
        <v>20278120</v>
      </c>
      <c r="Q659">
        <f t="shared" si="31"/>
        <v>10</v>
      </c>
      <c r="R659" s="21"/>
    </row>
    <row r="660" spans="1:18" x14ac:dyDescent="0.3">
      <c r="A660" s="14">
        <v>7123</v>
      </c>
      <c r="B660" s="8" t="s">
        <v>96</v>
      </c>
      <c r="C660" s="15">
        <v>20278797</v>
      </c>
      <c r="D660" s="16">
        <v>8698902787970</v>
      </c>
      <c r="E660" s="14" t="s">
        <v>1764</v>
      </c>
      <c r="F660" s="17" t="s">
        <v>1765</v>
      </c>
      <c r="G660" s="18">
        <v>1</v>
      </c>
      <c r="H660" s="19">
        <v>0</v>
      </c>
      <c r="I660" s="18">
        <v>0</v>
      </c>
      <c r="J660" s="8" t="s">
        <v>100</v>
      </c>
      <c r="K660" s="14">
        <v>30749</v>
      </c>
      <c r="L660" s="14" t="s">
        <v>229</v>
      </c>
      <c r="M660" s="20" t="s">
        <v>237</v>
      </c>
      <c r="N660" s="14" t="s">
        <v>230</v>
      </c>
      <c r="O660" s="12">
        <f t="shared" si="30"/>
        <v>10</v>
      </c>
      <c r="P660" t="str">
        <f t="shared" si="32"/>
        <v>20278797</v>
      </c>
      <c r="Q660">
        <f t="shared" si="31"/>
        <v>1</v>
      </c>
      <c r="R660" s="21"/>
    </row>
    <row r="661" spans="1:18" x14ac:dyDescent="0.3">
      <c r="A661" s="14">
        <v>6067</v>
      </c>
      <c r="B661" s="8" t="s">
        <v>96</v>
      </c>
      <c r="C661" s="15">
        <v>20276313</v>
      </c>
      <c r="D661" s="16">
        <v>8698902763134</v>
      </c>
      <c r="E661" s="14" t="s">
        <v>1766</v>
      </c>
      <c r="F661" s="17" t="s">
        <v>1767</v>
      </c>
      <c r="G661" s="18">
        <v>1</v>
      </c>
      <c r="H661" s="19">
        <v>0</v>
      </c>
      <c r="I661" s="18">
        <v>0</v>
      </c>
      <c r="J661" s="8" t="s">
        <v>100</v>
      </c>
      <c r="K661" s="14">
        <v>33949</v>
      </c>
      <c r="L661" s="14" t="s">
        <v>229</v>
      </c>
      <c r="M661" s="20" t="s">
        <v>237</v>
      </c>
      <c r="N661" s="14" t="s">
        <v>230</v>
      </c>
      <c r="O661" s="12">
        <f t="shared" si="30"/>
        <v>10</v>
      </c>
      <c r="P661" t="str">
        <f t="shared" si="32"/>
        <v>20276313</v>
      </c>
      <c r="Q661">
        <f t="shared" si="31"/>
        <v>1</v>
      </c>
      <c r="R661" s="21"/>
    </row>
    <row r="662" spans="1:18" x14ac:dyDescent="0.3">
      <c r="A662" s="14">
        <v>6572</v>
      </c>
      <c r="B662" s="8" t="s">
        <v>96</v>
      </c>
      <c r="C662" s="15">
        <v>20276712</v>
      </c>
      <c r="D662" s="16">
        <v>8698902767125</v>
      </c>
      <c r="E662" s="14" t="s">
        <v>1768</v>
      </c>
      <c r="F662" s="17" t="s">
        <v>1769</v>
      </c>
      <c r="G662" s="18">
        <v>1</v>
      </c>
      <c r="H662" s="19">
        <v>0</v>
      </c>
      <c r="I662" s="18">
        <v>0</v>
      </c>
      <c r="J662" s="8" t="s">
        <v>100</v>
      </c>
      <c r="K662" s="14">
        <v>32199</v>
      </c>
      <c r="L662" s="14" t="s">
        <v>229</v>
      </c>
      <c r="M662" s="20" t="s">
        <v>237</v>
      </c>
      <c r="N662" s="14" t="s">
        <v>230</v>
      </c>
      <c r="O662" s="12">
        <f t="shared" si="30"/>
        <v>10</v>
      </c>
      <c r="P662" t="str">
        <f t="shared" si="32"/>
        <v>20276712</v>
      </c>
      <c r="Q662">
        <f t="shared" si="31"/>
        <v>1</v>
      </c>
      <c r="R662" s="21"/>
    </row>
    <row r="663" spans="1:18" x14ac:dyDescent="0.3">
      <c r="A663" s="14">
        <v>7387</v>
      </c>
      <c r="B663" s="8" t="s">
        <v>96</v>
      </c>
      <c r="C663" s="15">
        <v>20300422</v>
      </c>
      <c r="D663" s="16">
        <v>8698902008983</v>
      </c>
      <c r="E663" s="14" t="s">
        <v>1770</v>
      </c>
      <c r="F663" s="17" t="s">
        <v>1771</v>
      </c>
      <c r="G663" s="18">
        <v>2</v>
      </c>
      <c r="I663" s="18">
        <v>0</v>
      </c>
      <c r="J663" s="8" t="s">
        <v>100</v>
      </c>
      <c r="K663" s="14">
        <v>30749</v>
      </c>
      <c r="L663" s="14" t="s">
        <v>229</v>
      </c>
      <c r="M663" s="20" t="s">
        <v>237</v>
      </c>
      <c r="N663" s="14" t="s">
        <v>230</v>
      </c>
      <c r="O663" s="12">
        <f t="shared" si="30"/>
        <v>10</v>
      </c>
      <c r="P663" t="str">
        <f t="shared" si="32"/>
        <v>20300422</v>
      </c>
      <c r="Q663">
        <f t="shared" si="31"/>
        <v>2</v>
      </c>
      <c r="R663" s="21"/>
    </row>
    <row r="664" spans="1:18" x14ac:dyDescent="0.3">
      <c r="A664" s="14">
        <v>7394</v>
      </c>
      <c r="B664" s="8" t="s">
        <v>96</v>
      </c>
      <c r="C664" s="15">
        <v>20300374</v>
      </c>
      <c r="D664" s="16">
        <v>8698902009010</v>
      </c>
      <c r="E664" s="14" t="s">
        <v>1772</v>
      </c>
      <c r="F664" s="17" t="s">
        <v>1773</v>
      </c>
      <c r="G664" s="18">
        <v>2</v>
      </c>
      <c r="I664" s="18">
        <v>0</v>
      </c>
      <c r="J664" s="8" t="s">
        <v>100</v>
      </c>
      <c r="K664" s="14">
        <v>29599</v>
      </c>
      <c r="L664" s="14" t="s">
        <v>229</v>
      </c>
      <c r="M664" s="20" t="s">
        <v>237</v>
      </c>
      <c r="N664" s="14" t="s">
        <v>230</v>
      </c>
      <c r="O664" s="12">
        <f t="shared" si="30"/>
        <v>10</v>
      </c>
      <c r="P664" t="str">
        <f t="shared" si="32"/>
        <v>20300374</v>
      </c>
      <c r="Q664">
        <f t="shared" si="31"/>
        <v>2</v>
      </c>
      <c r="R664" s="21"/>
    </row>
    <row r="665" spans="1:18" x14ac:dyDescent="0.3">
      <c r="A665" s="14">
        <v>5199</v>
      </c>
      <c r="B665" s="8" t="s">
        <v>96</v>
      </c>
      <c r="C665" s="15">
        <v>20275260</v>
      </c>
      <c r="D665" s="16">
        <v>8698902752602</v>
      </c>
      <c r="E665" s="14" t="s">
        <v>1774</v>
      </c>
      <c r="F665" s="17" t="s">
        <v>1775</v>
      </c>
      <c r="G665" s="18">
        <v>5</v>
      </c>
      <c r="H665" s="19">
        <v>0</v>
      </c>
      <c r="I665" s="18">
        <v>0</v>
      </c>
      <c r="J665" s="8" t="s">
        <v>100</v>
      </c>
      <c r="K665" s="14">
        <v>29699</v>
      </c>
      <c r="L665" s="14" t="s">
        <v>229</v>
      </c>
      <c r="M665" s="20" t="s">
        <v>237</v>
      </c>
      <c r="N665" s="14" t="s">
        <v>230</v>
      </c>
      <c r="O665" s="12">
        <f t="shared" si="30"/>
        <v>10</v>
      </c>
      <c r="P665" t="str">
        <f t="shared" si="32"/>
        <v>20275260</v>
      </c>
      <c r="Q665">
        <f t="shared" si="31"/>
        <v>5</v>
      </c>
      <c r="R665" s="21"/>
    </row>
    <row r="666" spans="1:18" x14ac:dyDescent="0.3">
      <c r="A666" s="14">
        <v>5814</v>
      </c>
      <c r="B666" s="8" t="s">
        <v>96</v>
      </c>
      <c r="C666" s="15">
        <v>20276099</v>
      </c>
      <c r="D666" s="16">
        <v>8698902760997</v>
      </c>
      <c r="E666" s="14" t="s">
        <v>1776</v>
      </c>
      <c r="F666" s="17" t="s">
        <v>1777</v>
      </c>
      <c r="G666" s="18">
        <v>4</v>
      </c>
      <c r="H666" s="19">
        <v>0</v>
      </c>
      <c r="I666" s="18">
        <v>0</v>
      </c>
      <c r="J666" s="8" t="s">
        <v>100</v>
      </c>
      <c r="K666" s="14">
        <v>29699</v>
      </c>
      <c r="L666" s="14" t="s">
        <v>229</v>
      </c>
      <c r="M666" s="20" t="s">
        <v>237</v>
      </c>
      <c r="N666" s="14" t="s">
        <v>230</v>
      </c>
      <c r="O666" s="12">
        <f t="shared" si="30"/>
        <v>10</v>
      </c>
      <c r="P666" t="str">
        <f t="shared" si="32"/>
        <v>20276099</v>
      </c>
      <c r="Q666">
        <f t="shared" si="31"/>
        <v>4</v>
      </c>
      <c r="R666" s="21"/>
    </row>
    <row r="667" spans="1:18" x14ac:dyDescent="0.3">
      <c r="A667" s="14">
        <v>5803</v>
      </c>
      <c r="B667" s="8" t="s">
        <v>96</v>
      </c>
      <c r="C667" s="15">
        <v>20276109</v>
      </c>
      <c r="D667" s="16">
        <v>8698902761093</v>
      </c>
      <c r="E667" s="14" t="s">
        <v>1778</v>
      </c>
      <c r="F667" s="17" t="s">
        <v>1779</v>
      </c>
      <c r="G667" s="18">
        <v>1</v>
      </c>
      <c r="H667" s="19">
        <v>0</v>
      </c>
      <c r="I667" s="18">
        <v>0</v>
      </c>
      <c r="J667" s="8" t="s">
        <v>100</v>
      </c>
      <c r="K667" s="14">
        <v>37099</v>
      </c>
      <c r="L667" s="14" t="s">
        <v>229</v>
      </c>
      <c r="M667" s="20" t="s">
        <v>237</v>
      </c>
      <c r="N667" s="14" t="s">
        <v>230</v>
      </c>
      <c r="O667" s="12">
        <f t="shared" si="30"/>
        <v>10</v>
      </c>
      <c r="P667" t="str">
        <f t="shared" si="32"/>
        <v>20276109</v>
      </c>
      <c r="Q667">
        <f t="shared" si="31"/>
        <v>1</v>
      </c>
      <c r="R667" s="21"/>
    </row>
    <row r="668" spans="1:18" x14ac:dyDescent="0.3">
      <c r="A668" s="14">
        <v>6586</v>
      </c>
      <c r="B668" s="8" t="s">
        <v>96</v>
      </c>
      <c r="C668" s="15">
        <v>20278117</v>
      </c>
      <c r="D668" s="16">
        <v>8698902781176</v>
      </c>
      <c r="E668" s="14" t="s">
        <v>1780</v>
      </c>
      <c r="F668" s="17" t="s">
        <v>1781</v>
      </c>
      <c r="G668" s="18">
        <v>9</v>
      </c>
      <c r="H668" s="19">
        <v>0</v>
      </c>
      <c r="I668" s="18">
        <v>0</v>
      </c>
      <c r="J668" s="8" t="s">
        <v>100</v>
      </c>
      <c r="K668" s="14">
        <v>41299</v>
      </c>
      <c r="L668" s="14" t="s">
        <v>229</v>
      </c>
      <c r="M668" s="20" t="s">
        <v>237</v>
      </c>
      <c r="N668" s="14" t="s">
        <v>230</v>
      </c>
      <c r="O668" s="12">
        <f t="shared" si="30"/>
        <v>10</v>
      </c>
      <c r="P668" t="str">
        <f t="shared" si="32"/>
        <v>20278117</v>
      </c>
      <c r="Q668">
        <f t="shared" si="31"/>
        <v>9</v>
      </c>
      <c r="R668" s="21"/>
    </row>
    <row r="669" spans="1:18" x14ac:dyDescent="0.3">
      <c r="A669" s="14">
        <v>6026</v>
      </c>
      <c r="B669" s="8" t="s">
        <v>96</v>
      </c>
      <c r="C669" s="15">
        <v>20276170</v>
      </c>
      <c r="D669" s="16">
        <v>8698902761703</v>
      </c>
      <c r="E669" s="14" t="s">
        <v>1782</v>
      </c>
      <c r="F669" s="17" t="s">
        <v>1783</v>
      </c>
      <c r="G669" s="18">
        <v>2</v>
      </c>
      <c r="H669" s="19">
        <v>0</v>
      </c>
      <c r="I669" s="18">
        <v>0</v>
      </c>
      <c r="J669" s="8" t="s">
        <v>100</v>
      </c>
      <c r="K669" s="14">
        <v>40549</v>
      </c>
      <c r="L669" s="14" t="s">
        <v>229</v>
      </c>
      <c r="M669" s="20" t="s">
        <v>237</v>
      </c>
      <c r="N669" s="14" t="s">
        <v>230</v>
      </c>
      <c r="O669" s="12">
        <f t="shared" si="30"/>
        <v>10</v>
      </c>
      <c r="P669" t="str">
        <f t="shared" si="32"/>
        <v>20276170</v>
      </c>
      <c r="Q669">
        <f t="shared" si="31"/>
        <v>2</v>
      </c>
      <c r="R669" s="21"/>
    </row>
    <row r="670" spans="1:18" x14ac:dyDescent="0.3">
      <c r="A670" s="14">
        <v>6589</v>
      </c>
      <c r="B670" s="8" t="s">
        <v>96</v>
      </c>
      <c r="C670" s="15">
        <v>20278122</v>
      </c>
      <c r="D670" s="16">
        <v>8698902781220</v>
      </c>
      <c r="E670" s="14" t="s">
        <v>1784</v>
      </c>
      <c r="F670" s="17" t="s">
        <v>1785</v>
      </c>
      <c r="G670" s="18">
        <v>8</v>
      </c>
      <c r="H670" s="19">
        <v>0</v>
      </c>
      <c r="I670" s="18">
        <v>1</v>
      </c>
      <c r="J670" s="8" t="s">
        <v>100</v>
      </c>
      <c r="K670" s="14">
        <v>41299</v>
      </c>
      <c r="L670" s="14" t="s">
        <v>229</v>
      </c>
      <c r="M670" s="20" t="s">
        <v>237</v>
      </c>
      <c r="N670" s="14" t="s">
        <v>230</v>
      </c>
      <c r="O670" s="12">
        <f t="shared" si="30"/>
        <v>10</v>
      </c>
      <c r="P670" t="str">
        <f t="shared" si="32"/>
        <v>20278122</v>
      </c>
      <c r="Q670">
        <f t="shared" si="31"/>
        <v>8</v>
      </c>
      <c r="R670" s="21"/>
    </row>
    <row r="671" spans="1:18" x14ac:dyDescent="0.3">
      <c r="A671" s="14">
        <v>7146</v>
      </c>
      <c r="B671" s="8" t="s">
        <v>96</v>
      </c>
      <c r="C671" s="15">
        <v>20278803</v>
      </c>
      <c r="D671" s="16">
        <v>8698902788038</v>
      </c>
      <c r="E671" s="14" t="s">
        <v>1786</v>
      </c>
      <c r="F671" s="17" t="s">
        <v>1787</v>
      </c>
      <c r="G671" s="18">
        <v>10</v>
      </c>
      <c r="H671" s="19">
        <v>0</v>
      </c>
      <c r="I671" s="18">
        <v>0</v>
      </c>
      <c r="J671" s="8" t="s">
        <v>100</v>
      </c>
      <c r="K671" s="14">
        <v>41299</v>
      </c>
      <c r="L671" s="14" t="s">
        <v>229</v>
      </c>
      <c r="M671" s="20" t="s">
        <v>237</v>
      </c>
      <c r="N671" s="14" t="s">
        <v>230</v>
      </c>
      <c r="O671" s="12">
        <f t="shared" si="30"/>
        <v>10</v>
      </c>
      <c r="P671" t="str">
        <f t="shared" si="32"/>
        <v>20278803</v>
      </c>
      <c r="Q671">
        <f t="shared" si="31"/>
        <v>10</v>
      </c>
      <c r="R671" s="21"/>
    </row>
    <row r="672" spans="1:18" x14ac:dyDescent="0.3">
      <c r="A672" s="14">
        <v>7393</v>
      </c>
      <c r="B672" s="8" t="s">
        <v>96</v>
      </c>
      <c r="C672" s="15">
        <v>20300372</v>
      </c>
      <c r="D672" s="16">
        <v>8698902009119</v>
      </c>
      <c r="E672" s="14" t="s">
        <v>1788</v>
      </c>
      <c r="F672" s="17" t="s">
        <v>1789</v>
      </c>
      <c r="G672" s="18">
        <v>2</v>
      </c>
      <c r="I672" s="18">
        <v>0</v>
      </c>
      <c r="J672" s="8" t="s">
        <v>100</v>
      </c>
      <c r="K672" s="14">
        <v>39399</v>
      </c>
      <c r="L672" s="14" t="s">
        <v>229</v>
      </c>
      <c r="M672" s="20" t="s">
        <v>237</v>
      </c>
      <c r="N672" s="14" t="s">
        <v>230</v>
      </c>
      <c r="O672" s="12">
        <f t="shared" si="30"/>
        <v>10</v>
      </c>
      <c r="P672" t="str">
        <f t="shared" si="32"/>
        <v>20300372</v>
      </c>
      <c r="Q672">
        <f t="shared" si="31"/>
        <v>2</v>
      </c>
      <c r="R672" s="21"/>
    </row>
    <row r="673" spans="1:18" x14ac:dyDescent="0.3">
      <c r="A673" s="14">
        <v>6880</v>
      </c>
      <c r="B673" s="8" t="s">
        <v>96</v>
      </c>
      <c r="C673" s="15">
        <v>20277883</v>
      </c>
      <c r="D673" s="16">
        <v>8698902778831</v>
      </c>
      <c r="E673" s="14" t="s">
        <v>1790</v>
      </c>
      <c r="F673" s="17" t="s">
        <v>1791</v>
      </c>
      <c r="G673" s="18">
        <v>1</v>
      </c>
      <c r="H673" s="19">
        <v>0</v>
      </c>
      <c r="I673" s="18">
        <v>0</v>
      </c>
      <c r="J673" s="8" t="s">
        <v>100</v>
      </c>
      <c r="K673" s="14">
        <v>56249</v>
      </c>
      <c r="L673" s="14" t="s">
        <v>229</v>
      </c>
      <c r="M673" s="20" t="s">
        <v>237</v>
      </c>
      <c r="N673" s="14" t="s">
        <v>230</v>
      </c>
      <c r="O673" s="12">
        <f t="shared" si="30"/>
        <v>10</v>
      </c>
      <c r="P673" t="str">
        <f t="shared" si="32"/>
        <v>20277883</v>
      </c>
      <c r="Q673">
        <f t="shared" si="31"/>
        <v>1</v>
      </c>
      <c r="R673" s="21"/>
    </row>
    <row r="674" spans="1:18" x14ac:dyDescent="0.3">
      <c r="A674" s="14">
        <v>4379</v>
      </c>
      <c r="B674" s="8" t="s">
        <v>96</v>
      </c>
      <c r="C674" s="15" t="s">
        <v>1792</v>
      </c>
      <c r="D674" s="16">
        <v>8699245802788</v>
      </c>
      <c r="E674" s="14" t="s">
        <v>1793</v>
      </c>
      <c r="F674" s="17" t="s">
        <v>1794</v>
      </c>
      <c r="G674" s="18">
        <v>2</v>
      </c>
      <c r="H674" s="19">
        <v>0</v>
      </c>
      <c r="I674" s="18">
        <v>0</v>
      </c>
      <c r="J674" s="8" t="s">
        <v>100</v>
      </c>
      <c r="K674" s="14">
        <v>2799</v>
      </c>
      <c r="L674" s="14" t="s">
        <v>897</v>
      </c>
      <c r="M674" s="20" t="s">
        <v>1795</v>
      </c>
      <c r="N674" s="14" t="s">
        <v>130</v>
      </c>
      <c r="O674" s="12">
        <f t="shared" si="30"/>
        <v>10</v>
      </c>
      <c r="P674" t="str">
        <f t="shared" si="32"/>
        <v>CARBON/12</v>
      </c>
      <c r="Q674">
        <f t="shared" si="31"/>
        <v>2</v>
      </c>
      <c r="R674" s="21"/>
    </row>
    <row r="675" spans="1:18" x14ac:dyDescent="0.3">
      <c r="A675" s="14">
        <v>6806</v>
      </c>
      <c r="B675" s="8" t="s">
        <v>96</v>
      </c>
      <c r="C675" s="15" t="s">
        <v>1796</v>
      </c>
      <c r="D675" s="16">
        <v>8699245801019</v>
      </c>
      <c r="E675" s="14" t="s">
        <v>1797</v>
      </c>
      <c r="F675" s="17" t="s">
        <v>1798</v>
      </c>
      <c r="G675" s="18">
        <v>1</v>
      </c>
      <c r="H675" s="19">
        <v>0</v>
      </c>
      <c r="I675" s="18">
        <v>0</v>
      </c>
      <c r="J675" s="8" t="s">
        <v>100</v>
      </c>
      <c r="K675" s="14">
        <v>7199</v>
      </c>
      <c r="L675" s="14" t="s">
        <v>897</v>
      </c>
      <c r="M675" s="20" t="s">
        <v>1795</v>
      </c>
      <c r="N675" s="14" t="s">
        <v>130</v>
      </c>
      <c r="O675" s="12">
        <f t="shared" si="30"/>
        <v>10</v>
      </c>
      <c r="P675" t="str">
        <f t="shared" si="32"/>
        <v>ERC-S2300</v>
      </c>
      <c r="Q675">
        <f t="shared" si="31"/>
        <v>1</v>
      </c>
      <c r="R675" s="21"/>
    </row>
    <row r="676" spans="1:18" x14ac:dyDescent="0.3">
      <c r="A676" s="14">
        <v>4382</v>
      </c>
      <c r="B676" s="8" t="s">
        <v>96</v>
      </c>
      <c r="C676" s="15" t="s">
        <v>1799</v>
      </c>
      <c r="D676" s="16">
        <v>8699245807271</v>
      </c>
      <c r="E676" s="14" t="s">
        <v>1800</v>
      </c>
      <c r="F676" s="17" t="s">
        <v>1801</v>
      </c>
      <c r="G676" s="18">
        <v>1</v>
      </c>
      <c r="H676" s="19">
        <v>0</v>
      </c>
      <c r="I676" s="18">
        <v>0</v>
      </c>
      <c r="J676" s="8" t="s">
        <v>100</v>
      </c>
      <c r="K676" s="14">
        <v>5899</v>
      </c>
      <c r="L676" s="14" t="s">
        <v>897</v>
      </c>
      <c r="M676" s="20" t="s">
        <v>1795</v>
      </c>
      <c r="N676" s="14" t="s">
        <v>130</v>
      </c>
      <c r="O676" s="12">
        <f t="shared" si="30"/>
        <v>10</v>
      </c>
      <c r="P676" t="str">
        <f t="shared" si="32"/>
        <v>MİCATRONİ</v>
      </c>
      <c r="Q676">
        <f t="shared" si="31"/>
        <v>1</v>
      </c>
      <c r="R676" s="21"/>
    </row>
    <row r="677" spans="1:18" x14ac:dyDescent="0.3">
      <c r="A677" s="14">
        <v>6807</v>
      </c>
      <c r="B677" s="8" t="s">
        <v>96</v>
      </c>
      <c r="C677" s="15" t="s">
        <v>1802</v>
      </c>
      <c r="D677" s="16">
        <v>8699245810820</v>
      </c>
      <c r="E677" s="14" t="s">
        <v>1803</v>
      </c>
      <c r="F677" s="17" t="s">
        <v>1804</v>
      </c>
      <c r="G677" s="18">
        <v>3</v>
      </c>
      <c r="H677" s="19">
        <v>0</v>
      </c>
      <c r="I677" s="18">
        <v>0</v>
      </c>
      <c r="J677" s="8" t="s">
        <v>100</v>
      </c>
      <c r="K677" s="14">
        <v>5899</v>
      </c>
      <c r="L677" s="14" t="s">
        <v>897</v>
      </c>
      <c r="M677" s="20" t="s">
        <v>1795</v>
      </c>
      <c r="N677" s="14" t="s">
        <v>130</v>
      </c>
      <c r="O677" s="12">
        <f t="shared" si="30"/>
        <v>10</v>
      </c>
      <c r="P677" t="str">
        <f t="shared" si="32"/>
        <v>STAR S/24</v>
      </c>
      <c r="Q677">
        <f t="shared" si="31"/>
        <v>3</v>
      </c>
      <c r="R677" s="21"/>
    </row>
    <row r="678" spans="1:18" x14ac:dyDescent="0.3">
      <c r="A678" s="14">
        <v>6375</v>
      </c>
      <c r="B678" s="8" t="s">
        <v>96</v>
      </c>
      <c r="C678" s="15" t="s">
        <v>1805</v>
      </c>
      <c r="D678" s="16">
        <v>871013968221</v>
      </c>
      <c r="E678" s="14" t="s">
        <v>1806</v>
      </c>
      <c r="F678" s="17" t="s">
        <v>1807</v>
      </c>
      <c r="G678" s="18">
        <v>3</v>
      </c>
      <c r="H678" s="19">
        <v>0</v>
      </c>
      <c r="I678" s="18">
        <v>0</v>
      </c>
      <c r="J678" s="8" t="s">
        <v>100</v>
      </c>
      <c r="K678" s="14">
        <v>2899</v>
      </c>
      <c r="L678" s="14" t="s">
        <v>1808</v>
      </c>
      <c r="M678" s="20" t="s">
        <v>102</v>
      </c>
      <c r="N678" s="14" t="s">
        <v>103</v>
      </c>
      <c r="O678" s="12">
        <f t="shared" si="30"/>
        <v>10</v>
      </c>
      <c r="P678" t="str">
        <f t="shared" si="32"/>
        <v>DST5030/8</v>
      </c>
      <c r="Q678">
        <f t="shared" si="31"/>
        <v>3</v>
      </c>
      <c r="R678" s="21"/>
    </row>
    <row r="679" spans="1:18" x14ac:dyDescent="0.3">
      <c r="A679" s="14">
        <v>7482</v>
      </c>
      <c r="B679" s="8" t="s">
        <v>96</v>
      </c>
      <c r="C679" s="15" t="s">
        <v>1809</v>
      </c>
      <c r="D679" s="16">
        <v>8720389001956</v>
      </c>
      <c r="E679" s="14" t="s">
        <v>1810</v>
      </c>
      <c r="F679" s="17" t="s">
        <v>1811</v>
      </c>
      <c r="G679" s="18">
        <v>2</v>
      </c>
      <c r="H679" s="19">
        <v>0</v>
      </c>
      <c r="I679" s="18">
        <v>0</v>
      </c>
      <c r="J679" s="8" t="s">
        <v>100</v>
      </c>
      <c r="K679" s="14">
        <v>7999</v>
      </c>
      <c r="L679" s="14" t="s">
        <v>1808</v>
      </c>
      <c r="M679" s="20" t="s">
        <v>102</v>
      </c>
      <c r="N679" s="14" t="s">
        <v>103</v>
      </c>
      <c r="O679" s="12">
        <f t="shared" si="30"/>
        <v>10</v>
      </c>
      <c r="P679" t="str">
        <f t="shared" si="32"/>
        <v>GC6842/30</v>
      </c>
      <c r="Q679">
        <f t="shared" si="31"/>
        <v>2</v>
      </c>
      <c r="R679" s="21"/>
    </row>
    <row r="680" spans="1:18" x14ac:dyDescent="0.3">
      <c r="A680" s="14">
        <v>6559</v>
      </c>
      <c r="B680" s="8" t="s">
        <v>96</v>
      </c>
      <c r="C680" s="15" t="s">
        <v>1812</v>
      </c>
      <c r="D680" s="16">
        <v>8720389015601</v>
      </c>
      <c r="E680" s="14" t="s">
        <v>1813</v>
      </c>
      <c r="F680" s="17" t="s">
        <v>1814</v>
      </c>
      <c r="G680" s="18">
        <v>3</v>
      </c>
      <c r="H680" s="19">
        <v>0</v>
      </c>
      <c r="I680" s="18">
        <v>0</v>
      </c>
      <c r="J680" s="8" t="s">
        <v>100</v>
      </c>
      <c r="K680" s="14">
        <v>3399</v>
      </c>
      <c r="L680" s="14" t="s">
        <v>1808</v>
      </c>
      <c r="M680" s="20" t="s">
        <v>102</v>
      </c>
      <c r="N680" s="14" t="s">
        <v>103</v>
      </c>
      <c r="O680" s="12">
        <f t="shared" si="30"/>
        <v>10</v>
      </c>
      <c r="P680" t="str">
        <f t="shared" si="32"/>
        <v>DST7022/4</v>
      </c>
      <c r="Q680">
        <f t="shared" si="31"/>
        <v>3</v>
      </c>
      <c r="R680" s="21"/>
    </row>
    <row r="681" spans="1:18" x14ac:dyDescent="0.3">
      <c r="A681" s="14">
        <v>6844</v>
      </c>
      <c r="B681" s="8" t="s">
        <v>96</v>
      </c>
      <c r="C681" s="15" t="s">
        <v>1815</v>
      </c>
      <c r="D681" s="16">
        <v>8720389015670</v>
      </c>
      <c r="E681" s="14" t="s">
        <v>1816</v>
      </c>
      <c r="F681" s="17" t="s">
        <v>1817</v>
      </c>
      <c r="G681" s="18">
        <v>6</v>
      </c>
      <c r="H681" s="19">
        <v>0</v>
      </c>
      <c r="I681" s="18">
        <v>0</v>
      </c>
      <c r="J681" s="8" t="s">
        <v>100</v>
      </c>
      <c r="K681" s="14">
        <v>3899</v>
      </c>
      <c r="L681" s="14" t="s">
        <v>1808</v>
      </c>
      <c r="M681" s="20" t="s">
        <v>102</v>
      </c>
      <c r="N681" s="14" t="s">
        <v>103</v>
      </c>
      <c r="O681" s="12">
        <f t="shared" si="30"/>
        <v>10</v>
      </c>
      <c r="P681" t="str">
        <f t="shared" si="32"/>
        <v>DST7031/7</v>
      </c>
      <c r="Q681">
        <f t="shared" si="31"/>
        <v>6</v>
      </c>
      <c r="R681" s="21"/>
    </row>
    <row r="682" spans="1:18" x14ac:dyDescent="0.3">
      <c r="A682" s="14">
        <v>7402</v>
      </c>
      <c r="B682" s="8" t="s">
        <v>96</v>
      </c>
      <c r="C682" s="15" t="s">
        <v>1818</v>
      </c>
      <c r="D682" s="16">
        <v>8720389015700</v>
      </c>
      <c r="E682" s="14" t="s">
        <v>1819</v>
      </c>
      <c r="F682" s="17" t="s">
        <v>1820</v>
      </c>
      <c r="G682" s="18">
        <v>6</v>
      </c>
      <c r="H682" s="19">
        <v>0</v>
      </c>
      <c r="I682" s="18">
        <v>0</v>
      </c>
      <c r="J682" s="8" t="s">
        <v>100</v>
      </c>
      <c r="K682" s="14">
        <v>4999</v>
      </c>
      <c r="L682" s="14" t="s">
        <v>1808</v>
      </c>
      <c r="M682" s="20" t="s">
        <v>102</v>
      </c>
      <c r="N682" s="14" t="s">
        <v>103</v>
      </c>
      <c r="O682" s="12">
        <f t="shared" si="30"/>
        <v>10</v>
      </c>
      <c r="P682" t="str">
        <f t="shared" si="32"/>
        <v>DST7040/8</v>
      </c>
      <c r="Q682">
        <f t="shared" si="31"/>
        <v>6</v>
      </c>
      <c r="R682" s="21"/>
    </row>
    <row r="683" spans="1:18" x14ac:dyDescent="0.3">
      <c r="A683" s="14">
        <v>6845</v>
      </c>
      <c r="B683" s="8" t="s">
        <v>96</v>
      </c>
      <c r="C683" s="15" t="s">
        <v>1821</v>
      </c>
      <c r="D683" s="16">
        <v>8720389023767</v>
      </c>
      <c r="E683" s="14" t="s">
        <v>1822</v>
      </c>
      <c r="F683" s="17" t="s">
        <v>1823</v>
      </c>
      <c r="G683" s="18">
        <v>3</v>
      </c>
      <c r="H683" s="19">
        <v>0</v>
      </c>
      <c r="I683" s="18">
        <v>0</v>
      </c>
      <c r="J683" s="8" t="s">
        <v>100</v>
      </c>
      <c r="K683" s="14">
        <v>4499</v>
      </c>
      <c r="L683" s="14" t="s">
        <v>1808</v>
      </c>
      <c r="M683" s="20" t="s">
        <v>102</v>
      </c>
      <c r="N683" s="14" t="s">
        <v>103</v>
      </c>
      <c r="O683" s="12">
        <f t="shared" si="30"/>
        <v>10</v>
      </c>
      <c r="P683" t="str">
        <f t="shared" si="32"/>
        <v>DST7041/2</v>
      </c>
      <c r="Q683">
        <f t="shared" si="31"/>
        <v>3</v>
      </c>
      <c r="R683" s="21"/>
    </row>
    <row r="684" spans="1:18" x14ac:dyDescent="0.3">
      <c r="A684" s="14">
        <v>6429</v>
      </c>
      <c r="B684" s="8" t="s">
        <v>96</v>
      </c>
      <c r="C684" s="15" t="s">
        <v>1824</v>
      </c>
      <c r="D684" s="16">
        <v>8720389014116</v>
      </c>
      <c r="E684" s="14" t="s">
        <v>1825</v>
      </c>
      <c r="F684" s="17" t="s">
        <v>1826</v>
      </c>
      <c r="G684" s="18">
        <v>8</v>
      </c>
      <c r="H684" s="19">
        <v>0</v>
      </c>
      <c r="I684" s="18">
        <v>0</v>
      </c>
      <c r="J684" s="8" t="s">
        <v>100</v>
      </c>
      <c r="K684" s="14">
        <v>5649</v>
      </c>
      <c r="L684" s="14" t="s">
        <v>1808</v>
      </c>
      <c r="M684" s="20" t="s">
        <v>102</v>
      </c>
      <c r="N684" s="14" t="s">
        <v>103</v>
      </c>
      <c r="O684" s="12">
        <f t="shared" si="30"/>
        <v>10</v>
      </c>
      <c r="P684" t="str">
        <f t="shared" si="32"/>
        <v>DST7510/8</v>
      </c>
      <c r="Q684">
        <f t="shared" si="31"/>
        <v>8</v>
      </c>
      <c r="R684" s="21"/>
    </row>
    <row r="685" spans="1:18" x14ac:dyDescent="0.3">
      <c r="A685" s="14">
        <v>6780</v>
      </c>
      <c r="B685" s="8" t="s">
        <v>96</v>
      </c>
      <c r="C685" s="15" t="s">
        <v>1827</v>
      </c>
      <c r="D685" s="16">
        <v>8720389014338</v>
      </c>
      <c r="E685" s="14" t="s">
        <v>1828</v>
      </c>
      <c r="F685" s="17" t="s">
        <v>1829</v>
      </c>
      <c r="G685" s="18">
        <v>5</v>
      </c>
      <c r="H685" s="19">
        <v>0</v>
      </c>
      <c r="I685" s="18">
        <v>0</v>
      </c>
      <c r="J685" s="8" t="s">
        <v>100</v>
      </c>
      <c r="K685" s="14">
        <v>4699</v>
      </c>
      <c r="L685" s="14" t="s">
        <v>1808</v>
      </c>
      <c r="M685" s="20" t="s">
        <v>102</v>
      </c>
      <c r="N685" s="14" t="s">
        <v>103</v>
      </c>
      <c r="O685" s="12">
        <f t="shared" si="30"/>
        <v>10</v>
      </c>
      <c r="P685" t="str">
        <f t="shared" si="32"/>
        <v>DST7511/8</v>
      </c>
      <c r="Q685">
        <f t="shared" si="31"/>
        <v>5</v>
      </c>
      <c r="R685" s="21"/>
    </row>
    <row r="686" spans="1:18" x14ac:dyDescent="0.3">
      <c r="A686" s="14">
        <v>6475</v>
      </c>
      <c r="B686" s="8" t="s">
        <v>96</v>
      </c>
      <c r="C686" s="15" t="s">
        <v>1830</v>
      </c>
      <c r="D686" s="16">
        <v>8720389004841</v>
      </c>
      <c r="E686" s="14" t="s">
        <v>1831</v>
      </c>
      <c r="F686" s="17" t="s">
        <v>1832</v>
      </c>
      <c r="G686" s="18">
        <v>2</v>
      </c>
      <c r="H686" s="19">
        <v>0</v>
      </c>
      <c r="I686" s="18">
        <v>1</v>
      </c>
      <c r="J686" s="8" t="s">
        <v>100</v>
      </c>
      <c r="K686" s="14">
        <v>7199</v>
      </c>
      <c r="L686" s="14" t="s">
        <v>1808</v>
      </c>
      <c r="M686" s="20" t="s">
        <v>102</v>
      </c>
      <c r="N686" s="14" t="s">
        <v>103</v>
      </c>
      <c r="O686" s="12">
        <f t="shared" si="30"/>
        <v>10</v>
      </c>
      <c r="P686" t="str">
        <f t="shared" si="32"/>
        <v>DST8040/3</v>
      </c>
      <c r="Q686">
        <f t="shared" si="31"/>
        <v>2</v>
      </c>
      <c r="R686" s="21"/>
    </row>
    <row r="687" spans="1:18" x14ac:dyDescent="0.3">
      <c r="A687" s="14">
        <v>6474</v>
      </c>
      <c r="B687" s="8" t="s">
        <v>96</v>
      </c>
      <c r="C687" s="15" t="s">
        <v>1833</v>
      </c>
      <c r="D687" s="16">
        <v>8720389004858</v>
      </c>
      <c r="E687" s="14" t="s">
        <v>1834</v>
      </c>
      <c r="F687" s="17" t="s">
        <v>1835</v>
      </c>
      <c r="G687" s="18">
        <v>4</v>
      </c>
      <c r="H687" s="19">
        <v>0</v>
      </c>
      <c r="I687" s="18">
        <v>0</v>
      </c>
      <c r="J687" s="8" t="s">
        <v>100</v>
      </c>
      <c r="K687" s="14">
        <v>7499</v>
      </c>
      <c r="L687" s="14" t="s">
        <v>1808</v>
      </c>
      <c r="M687" s="20" t="s">
        <v>102</v>
      </c>
      <c r="N687" s="14" t="s">
        <v>103</v>
      </c>
      <c r="O687" s="12">
        <f t="shared" si="30"/>
        <v>10</v>
      </c>
      <c r="P687" t="str">
        <f t="shared" si="32"/>
        <v>DST8050/2</v>
      </c>
      <c r="Q687">
        <f t="shared" si="31"/>
        <v>4</v>
      </c>
      <c r="R687" s="21"/>
    </row>
    <row r="688" spans="1:18" x14ac:dyDescent="0.3">
      <c r="A688" s="14">
        <v>5067</v>
      </c>
      <c r="B688" s="8" t="s">
        <v>96</v>
      </c>
      <c r="C688" s="15" t="s">
        <v>1836</v>
      </c>
      <c r="E688" s="14" t="s">
        <v>1837</v>
      </c>
      <c r="F688" s="17" t="s">
        <v>1838</v>
      </c>
      <c r="G688" s="18">
        <v>1</v>
      </c>
      <c r="H688" s="19">
        <v>0</v>
      </c>
      <c r="I688" s="18">
        <v>0</v>
      </c>
      <c r="J688" s="8" t="s">
        <v>100</v>
      </c>
      <c r="K688" s="14">
        <v>24799</v>
      </c>
      <c r="L688" s="14" t="s">
        <v>1808</v>
      </c>
      <c r="M688" s="20" t="s">
        <v>102</v>
      </c>
      <c r="N688" s="14" t="s">
        <v>103</v>
      </c>
      <c r="O688" s="12">
        <f t="shared" si="30"/>
        <v>10</v>
      </c>
      <c r="P688" t="str">
        <f t="shared" si="32"/>
        <v>GC9682/80</v>
      </c>
      <c r="Q688">
        <f t="shared" si="31"/>
        <v>1</v>
      </c>
      <c r="R688" s="21"/>
    </row>
    <row r="689" spans="1:18" x14ac:dyDescent="0.3">
      <c r="A689" s="14">
        <v>6822</v>
      </c>
      <c r="B689" s="8" t="s">
        <v>96</v>
      </c>
      <c r="C689" s="15" t="s">
        <v>1839</v>
      </c>
      <c r="D689" s="16">
        <v>8720389021886</v>
      </c>
      <c r="E689" s="14" t="s">
        <v>1840</v>
      </c>
      <c r="F689" s="17" t="s">
        <v>1841</v>
      </c>
      <c r="G689" s="18">
        <v>2</v>
      </c>
      <c r="H689" s="19">
        <v>0</v>
      </c>
      <c r="I689" s="18">
        <v>0</v>
      </c>
      <c r="J689" s="8" t="s">
        <v>100</v>
      </c>
      <c r="K689" s="14">
        <v>9399</v>
      </c>
      <c r="L689" s="14" t="s">
        <v>1808</v>
      </c>
      <c r="M689" s="20" t="s">
        <v>102</v>
      </c>
      <c r="N689" s="14" t="s">
        <v>103</v>
      </c>
      <c r="O689" s="12">
        <f t="shared" si="30"/>
        <v>10</v>
      </c>
      <c r="P689" t="str">
        <f t="shared" si="32"/>
        <v>PSG6026/2</v>
      </c>
      <c r="Q689">
        <f t="shared" si="31"/>
        <v>2</v>
      </c>
      <c r="R689" s="21"/>
    </row>
    <row r="690" spans="1:18" x14ac:dyDescent="0.3">
      <c r="A690" s="14">
        <v>6558</v>
      </c>
      <c r="B690" s="8" t="s">
        <v>96</v>
      </c>
      <c r="C690" s="15" t="s">
        <v>1842</v>
      </c>
      <c r="D690" s="16">
        <v>8720389014512</v>
      </c>
      <c r="E690" s="14" t="s">
        <v>1843</v>
      </c>
      <c r="F690" s="17" t="s">
        <v>1844</v>
      </c>
      <c r="G690" s="18">
        <v>2</v>
      </c>
      <c r="H690" s="19">
        <v>0</v>
      </c>
      <c r="I690" s="18">
        <v>0</v>
      </c>
      <c r="J690" s="8" t="s">
        <v>100</v>
      </c>
      <c r="K690" s="14">
        <v>15949</v>
      </c>
      <c r="L690" s="14" t="s">
        <v>1808</v>
      </c>
      <c r="M690" s="20" t="s">
        <v>102</v>
      </c>
      <c r="N690" s="14" t="s">
        <v>103</v>
      </c>
      <c r="O690" s="12">
        <f t="shared" si="30"/>
        <v>10</v>
      </c>
      <c r="P690" t="str">
        <f t="shared" si="32"/>
        <v>PSG7150/3</v>
      </c>
      <c r="Q690">
        <f t="shared" si="31"/>
        <v>2</v>
      </c>
      <c r="R690" s="21"/>
    </row>
    <row r="691" spans="1:18" x14ac:dyDescent="0.3">
      <c r="A691" s="14">
        <v>6613</v>
      </c>
      <c r="B691" s="8" t="s">
        <v>96</v>
      </c>
      <c r="C691" s="15" t="s">
        <v>1845</v>
      </c>
      <c r="D691" s="16">
        <v>8720389014529</v>
      </c>
      <c r="E691" s="14" t="s">
        <v>1846</v>
      </c>
      <c r="F691" s="17" t="s">
        <v>1847</v>
      </c>
      <c r="G691" s="18">
        <v>1</v>
      </c>
      <c r="H691" s="19">
        <v>0</v>
      </c>
      <c r="I691" s="18">
        <v>0</v>
      </c>
      <c r="J691" s="8" t="s">
        <v>100</v>
      </c>
      <c r="K691" s="14">
        <v>21549</v>
      </c>
      <c r="L691" s="14" t="s">
        <v>1808</v>
      </c>
      <c r="M691" s="20" t="s">
        <v>102</v>
      </c>
      <c r="N691" s="14" t="s">
        <v>103</v>
      </c>
      <c r="O691" s="12">
        <f t="shared" si="30"/>
        <v>10</v>
      </c>
      <c r="P691" t="str">
        <f t="shared" si="32"/>
        <v>PSG8030/2</v>
      </c>
      <c r="Q691">
        <f t="shared" si="31"/>
        <v>1</v>
      </c>
      <c r="R691" s="21"/>
    </row>
    <row r="692" spans="1:18" x14ac:dyDescent="0.3">
      <c r="A692" s="14">
        <v>7238</v>
      </c>
      <c r="B692" s="8" t="s">
        <v>96</v>
      </c>
      <c r="C692" s="15">
        <v>20244334</v>
      </c>
      <c r="D692" s="16">
        <v>8698902443340</v>
      </c>
      <c r="E692" s="14" t="s">
        <v>1848</v>
      </c>
      <c r="F692" s="17" t="s">
        <v>1849</v>
      </c>
      <c r="G692" s="18">
        <v>1</v>
      </c>
      <c r="I692" s="18">
        <v>0</v>
      </c>
      <c r="J692" s="8" t="s">
        <v>100</v>
      </c>
      <c r="K692" s="14">
        <v>10349</v>
      </c>
      <c r="L692" s="14" t="s">
        <v>1808</v>
      </c>
      <c r="M692" s="20" t="s">
        <v>237</v>
      </c>
      <c r="N692" s="14" t="s">
        <v>103</v>
      </c>
      <c r="O692" s="12">
        <f t="shared" si="30"/>
        <v>10</v>
      </c>
      <c r="P692" t="str">
        <f t="shared" si="32"/>
        <v>20244334</v>
      </c>
      <c r="Q692">
        <f t="shared" si="31"/>
        <v>1</v>
      </c>
      <c r="R692" s="21"/>
    </row>
    <row r="693" spans="1:18" x14ac:dyDescent="0.3">
      <c r="A693" s="14">
        <v>6685</v>
      </c>
      <c r="B693" s="8" t="s">
        <v>96</v>
      </c>
      <c r="C693" s="15">
        <v>20244339</v>
      </c>
      <c r="D693" s="16">
        <v>8698902443395</v>
      </c>
      <c r="E693" s="14" t="s">
        <v>1850</v>
      </c>
      <c r="F693" s="17" t="s">
        <v>1851</v>
      </c>
      <c r="G693" s="18">
        <v>4</v>
      </c>
      <c r="H693" s="19">
        <v>0</v>
      </c>
      <c r="I693" s="18">
        <v>0</v>
      </c>
      <c r="J693" s="8" t="s">
        <v>100</v>
      </c>
      <c r="K693" s="14">
        <v>2199</v>
      </c>
      <c r="L693" s="14" t="s">
        <v>1808</v>
      </c>
      <c r="M693" s="20" t="s">
        <v>237</v>
      </c>
      <c r="N693" s="14" t="s">
        <v>103</v>
      </c>
      <c r="O693" s="12">
        <f t="shared" si="30"/>
        <v>10</v>
      </c>
      <c r="P693" t="str">
        <f t="shared" si="32"/>
        <v>20244339</v>
      </c>
      <c r="Q693">
        <f t="shared" si="31"/>
        <v>4</v>
      </c>
      <c r="R693" s="21"/>
    </row>
    <row r="694" spans="1:18" x14ac:dyDescent="0.3">
      <c r="A694" s="14">
        <v>7111</v>
      </c>
      <c r="B694" s="8" t="s">
        <v>96</v>
      </c>
      <c r="C694" s="15">
        <v>20244274</v>
      </c>
      <c r="D694" s="16">
        <v>8698902442749</v>
      </c>
      <c r="E694" s="14" t="s">
        <v>1852</v>
      </c>
      <c r="F694" s="17" t="s">
        <v>1853</v>
      </c>
      <c r="G694" s="18">
        <v>8</v>
      </c>
      <c r="H694" s="19">
        <v>0</v>
      </c>
      <c r="I694" s="18">
        <v>1</v>
      </c>
      <c r="J694" s="8" t="s">
        <v>100</v>
      </c>
      <c r="K694" s="14">
        <v>2499</v>
      </c>
      <c r="L694" s="14" t="s">
        <v>1808</v>
      </c>
      <c r="M694" s="20" t="s">
        <v>237</v>
      </c>
      <c r="N694" s="14" t="s">
        <v>103</v>
      </c>
      <c r="O694" s="12">
        <f t="shared" si="30"/>
        <v>10</v>
      </c>
      <c r="P694" t="str">
        <f t="shared" si="32"/>
        <v>20244274</v>
      </c>
      <c r="Q694">
        <f t="shared" si="31"/>
        <v>8</v>
      </c>
      <c r="R694" s="21"/>
    </row>
    <row r="695" spans="1:18" x14ac:dyDescent="0.3">
      <c r="A695" s="14">
        <v>6784</v>
      </c>
      <c r="B695" s="8" t="s">
        <v>96</v>
      </c>
      <c r="C695" s="15">
        <v>20244337</v>
      </c>
      <c r="D695" s="16">
        <v>8698902443371</v>
      </c>
      <c r="E695" s="14" t="s">
        <v>1854</v>
      </c>
      <c r="F695" s="17" t="s">
        <v>1855</v>
      </c>
      <c r="G695" s="18">
        <v>3</v>
      </c>
      <c r="H695" s="19">
        <v>0</v>
      </c>
      <c r="I695" s="18">
        <v>0</v>
      </c>
      <c r="J695" s="8" t="s">
        <v>100</v>
      </c>
      <c r="K695" s="14">
        <v>2399</v>
      </c>
      <c r="L695" s="14" t="s">
        <v>1808</v>
      </c>
      <c r="M695" s="20" t="s">
        <v>237</v>
      </c>
      <c r="N695" s="14" t="s">
        <v>103</v>
      </c>
      <c r="O695" s="12">
        <f t="shared" si="30"/>
        <v>10</v>
      </c>
      <c r="P695" t="str">
        <f t="shared" si="32"/>
        <v>20244337</v>
      </c>
      <c r="Q695">
        <f t="shared" si="31"/>
        <v>3</v>
      </c>
      <c r="R695" s="21"/>
    </row>
    <row r="696" spans="1:18" x14ac:dyDescent="0.3">
      <c r="A696" s="14">
        <v>7064</v>
      </c>
      <c r="B696" s="8" t="s">
        <v>96</v>
      </c>
      <c r="C696" s="15">
        <v>20244270</v>
      </c>
      <c r="D696" s="16">
        <v>8698902442701</v>
      </c>
      <c r="E696" s="14" t="s">
        <v>1856</v>
      </c>
      <c r="F696" s="17" t="s">
        <v>1857</v>
      </c>
      <c r="G696" s="18">
        <v>3</v>
      </c>
      <c r="H696" s="19">
        <v>0</v>
      </c>
      <c r="I696" s="18">
        <v>0</v>
      </c>
      <c r="J696" s="8" t="s">
        <v>100</v>
      </c>
      <c r="K696" s="14">
        <v>3499</v>
      </c>
      <c r="L696" s="14" t="s">
        <v>1808</v>
      </c>
      <c r="M696" s="20" t="s">
        <v>237</v>
      </c>
      <c r="N696" s="14" t="s">
        <v>103</v>
      </c>
      <c r="O696" s="12">
        <f t="shared" si="30"/>
        <v>10</v>
      </c>
      <c r="P696" t="str">
        <f t="shared" si="32"/>
        <v>20244270</v>
      </c>
      <c r="Q696">
        <f t="shared" si="31"/>
        <v>3</v>
      </c>
      <c r="R696" s="21"/>
    </row>
    <row r="697" spans="1:18" x14ac:dyDescent="0.3">
      <c r="A697" s="14">
        <v>7065</v>
      </c>
      <c r="B697" s="8" t="s">
        <v>96</v>
      </c>
      <c r="C697" s="15">
        <v>20244271</v>
      </c>
      <c r="D697" s="16">
        <v>8698902442718</v>
      </c>
      <c r="E697" s="14" t="s">
        <v>1858</v>
      </c>
      <c r="F697" s="17" t="s">
        <v>1859</v>
      </c>
      <c r="G697" s="18">
        <v>4</v>
      </c>
      <c r="H697" s="19">
        <v>0</v>
      </c>
      <c r="I697" s="18">
        <v>0</v>
      </c>
      <c r="J697" s="8" t="s">
        <v>100</v>
      </c>
      <c r="K697" s="14">
        <v>3499</v>
      </c>
      <c r="L697" s="14" t="s">
        <v>1808</v>
      </c>
      <c r="M697" s="20" t="s">
        <v>237</v>
      </c>
      <c r="N697" s="14" t="s">
        <v>103</v>
      </c>
      <c r="O697" s="12">
        <f t="shared" si="30"/>
        <v>10</v>
      </c>
      <c r="P697" t="str">
        <f t="shared" si="32"/>
        <v>20244271</v>
      </c>
      <c r="Q697">
        <f t="shared" si="31"/>
        <v>4</v>
      </c>
      <c r="R697" s="21"/>
    </row>
    <row r="698" spans="1:18" x14ac:dyDescent="0.3">
      <c r="A698" s="14">
        <v>7224</v>
      </c>
      <c r="B698" s="8" t="s">
        <v>96</v>
      </c>
      <c r="C698" s="15">
        <v>20244272</v>
      </c>
      <c r="D698" s="16">
        <v>8698902442725</v>
      </c>
      <c r="E698" s="14" t="s">
        <v>1860</v>
      </c>
      <c r="F698" s="17" t="s">
        <v>1861</v>
      </c>
      <c r="G698" s="18">
        <v>7</v>
      </c>
      <c r="I698" s="18">
        <v>0</v>
      </c>
      <c r="J698" s="8" t="s">
        <v>100</v>
      </c>
      <c r="K698" s="14">
        <v>3099</v>
      </c>
      <c r="L698" s="14" t="s">
        <v>1808</v>
      </c>
      <c r="M698" s="20" t="s">
        <v>237</v>
      </c>
      <c r="N698" s="14" t="s">
        <v>103</v>
      </c>
      <c r="O698" s="12">
        <f t="shared" si="30"/>
        <v>10</v>
      </c>
      <c r="P698" t="str">
        <f t="shared" si="32"/>
        <v>20244272</v>
      </c>
      <c r="Q698">
        <f t="shared" si="31"/>
        <v>7</v>
      </c>
      <c r="R698" s="21"/>
    </row>
    <row r="699" spans="1:18" x14ac:dyDescent="0.3">
      <c r="A699" s="14">
        <v>6367</v>
      </c>
      <c r="B699" s="8" t="s">
        <v>96</v>
      </c>
      <c r="C699" s="15">
        <v>20244266</v>
      </c>
      <c r="D699" s="16">
        <v>8698902442664</v>
      </c>
      <c r="E699" s="14" t="s">
        <v>1862</v>
      </c>
      <c r="F699" s="17" t="s">
        <v>1863</v>
      </c>
      <c r="G699" s="18">
        <v>1</v>
      </c>
      <c r="H699" s="19">
        <v>0</v>
      </c>
      <c r="I699" s="18">
        <v>1</v>
      </c>
      <c r="J699" s="8" t="s">
        <v>100</v>
      </c>
      <c r="K699" s="14">
        <v>4349</v>
      </c>
      <c r="L699" s="14" t="s">
        <v>1808</v>
      </c>
      <c r="M699" s="20" t="s">
        <v>237</v>
      </c>
      <c r="N699" s="14" t="s">
        <v>103</v>
      </c>
      <c r="O699" s="12">
        <f t="shared" si="30"/>
        <v>10</v>
      </c>
      <c r="P699" t="str">
        <f t="shared" si="32"/>
        <v>20244266</v>
      </c>
      <c r="Q699">
        <f t="shared" si="31"/>
        <v>1</v>
      </c>
      <c r="R699" s="21"/>
    </row>
    <row r="700" spans="1:18" x14ac:dyDescent="0.3">
      <c r="A700" s="14">
        <v>1542</v>
      </c>
      <c r="B700" s="8" t="s">
        <v>96</v>
      </c>
      <c r="C700" s="15">
        <v>20242228</v>
      </c>
      <c r="D700" s="16">
        <v>8698902422284</v>
      </c>
      <c r="E700" s="14" t="s">
        <v>1864</v>
      </c>
      <c r="F700" s="17" t="s">
        <v>1865</v>
      </c>
      <c r="G700" s="18">
        <v>13</v>
      </c>
      <c r="H700" s="19">
        <v>0</v>
      </c>
      <c r="I700" s="18">
        <v>0</v>
      </c>
      <c r="J700" s="8" t="s">
        <v>100</v>
      </c>
      <c r="K700" s="14">
        <v>7199</v>
      </c>
      <c r="L700" s="14" t="s">
        <v>1808</v>
      </c>
      <c r="M700" s="20" t="s">
        <v>237</v>
      </c>
      <c r="N700" s="14" t="s">
        <v>103</v>
      </c>
      <c r="O700" s="12">
        <f t="shared" si="30"/>
        <v>10</v>
      </c>
      <c r="P700" t="str">
        <f t="shared" si="32"/>
        <v>20242228</v>
      </c>
      <c r="Q700">
        <f t="shared" si="31"/>
        <v>13</v>
      </c>
      <c r="R700" s="21"/>
    </row>
    <row r="701" spans="1:18" x14ac:dyDescent="0.3">
      <c r="A701" s="14">
        <v>6330</v>
      </c>
      <c r="B701" s="8" t="s">
        <v>96</v>
      </c>
      <c r="C701" s="15">
        <v>20244178</v>
      </c>
      <c r="D701" s="16">
        <v>8698902441780</v>
      </c>
      <c r="E701" s="14" t="s">
        <v>1866</v>
      </c>
      <c r="F701" s="17" t="s">
        <v>1867</v>
      </c>
      <c r="G701" s="18">
        <v>11</v>
      </c>
      <c r="H701" s="19">
        <v>0</v>
      </c>
      <c r="I701" s="18">
        <v>0</v>
      </c>
      <c r="J701" s="8" t="s">
        <v>100</v>
      </c>
      <c r="K701" s="14">
        <v>6899</v>
      </c>
      <c r="L701" s="14" t="s">
        <v>1808</v>
      </c>
      <c r="M701" s="20" t="s">
        <v>237</v>
      </c>
      <c r="N701" s="14" t="s">
        <v>103</v>
      </c>
      <c r="O701" s="12">
        <f t="shared" si="30"/>
        <v>10</v>
      </c>
      <c r="P701" t="str">
        <f t="shared" si="32"/>
        <v>20244178</v>
      </c>
      <c r="Q701">
        <f t="shared" si="31"/>
        <v>11</v>
      </c>
      <c r="R701" s="21"/>
    </row>
    <row r="702" spans="1:18" x14ac:dyDescent="0.3">
      <c r="A702" s="14">
        <v>6015</v>
      </c>
      <c r="B702" s="8" t="s">
        <v>96</v>
      </c>
      <c r="C702" s="15">
        <v>20244276</v>
      </c>
      <c r="D702" s="16">
        <v>8698902442763</v>
      </c>
      <c r="E702" s="14" t="s">
        <v>1868</v>
      </c>
      <c r="F702" s="17" t="s">
        <v>1869</v>
      </c>
      <c r="G702" s="18">
        <v>4</v>
      </c>
      <c r="H702" s="19">
        <v>0</v>
      </c>
      <c r="I702" s="18">
        <v>0</v>
      </c>
      <c r="J702" s="8" t="s">
        <v>100</v>
      </c>
      <c r="K702" s="14">
        <v>9699</v>
      </c>
      <c r="L702" s="14" t="s">
        <v>1808</v>
      </c>
      <c r="M702" s="20" t="s">
        <v>237</v>
      </c>
      <c r="N702" s="14" t="s">
        <v>103</v>
      </c>
      <c r="O702" s="12">
        <f t="shared" si="30"/>
        <v>10</v>
      </c>
      <c r="P702" t="str">
        <f t="shared" si="32"/>
        <v>20244276</v>
      </c>
      <c r="Q702">
        <f t="shared" si="31"/>
        <v>4</v>
      </c>
      <c r="R702" s="21"/>
    </row>
    <row r="703" spans="1:18" x14ac:dyDescent="0.3">
      <c r="A703" s="14">
        <v>7480</v>
      </c>
      <c r="B703" s="8" t="s">
        <v>96</v>
      </c>
      <c r="C703" s="15">
        <v>20269561</v>
      </c>
      <c r="D703" s="16">
        <v>8698902695619</v>
      </c>
      <c r="E703" s="14" t="s">
        <v>1870</v>
      </c>
      <c r="F703" s="17" t="s">
        <v>1871</v>
      </c>
      <c r="G703" s="18">
        <v>10</v>
      </c>
      <c r="I703" s="18">
        <v>1</v>
      </c>
      <c r="J703" s="8" t="s">
        <v>100</v>
      </c>
      <c r="K703" s="14">
        <v>5999</v>
      </c>
      <c r="L703" s="14" t="s">
        <v>897</v>
      </c>
      <c r="M703" s="20" t="s">
        <v>237</v>
      </c>
      <c r="N703" s="14" t="s">
        <v>130</v>
      </c>
      <c r="O703" s="12">
        <f t="shared" si="30"/>
        <v>10</v>
      </c>
      <c r="P703" t="str">
        <f t="shared" si="32"/>
        <v>20269561</v>
      </c>
      <c r="Q703">
        <f t="shared" si="31"/>
        <v>10</v>
      </c>
      <c r="R703" s="21"/>
    </row>
    <row r="704" spans="1:18" x14ac:dyDescent="0.3">
      <c r="A704" s="14">
        <v>7355</v>
      </c>
      <c r="B704" s="8" t="s">
        <v>96</v>
      </c>
      <c r="C704" s="15" t="s">
        <v>1872</v>
      </c>
      <c r="D704" s="16">
        <v>8720389036842</v>
      </c>
      <c r="E704" s="14" t="s">
        <v>1873</v>
      </c>
      <c r="F704" s="17" t="s">
        <v>1874</v>
      </c>
      <c r="G704" s="18">
        <v>1</v>
      </c>
      <c r="H704" s="19">
        <v>0</v>
      </c>
      <c r="I704" s="18">
        <v>0</v>
      </c>
      <c r="J704" s="8" t="s">
        <v>100</v>
      </c>
      <c r="K704" s="14">
        <v>5349</v>
      </c>
      <c r="L704" s="14" t="s">
        <v>897</v>
      </c>
      <c r="M704" s="20" t="s">
        <v>102</v>
      </c>
      <c r="N704" s="14" t="s">
        <v>130</v>
      </c>
      <c r="O704" s="12">
        <f t="shared" si="30"/>
        <v>10</v>
      </c>
      <c r="P704" t="str">
        <f t="shared" si="32"/>
        <v>CX2550/00</v>
      </c>
      <c r="Q704">
        <f t="shared" si="31"/>
        <v>1</v>
      </c>
      <c r="R704" s="21"/>
    </row>
    <row r="705" spans="1:18" x14ac:dyDescent="0.3">
      <c r="A705" s="14">
        <v>4527</v>
      </c>
      <c r="B705" s="8" t="s">
        <v>96</v>
      </c>
      <c r="C705" s="15">
        <v>20217645</v>
      </c>
      <c r="D705" s="16">
        <v>8698902176453</v>
      </c>
      <c r="E705" s="14" t="s">
        <v>1875</v>
      </c>
      <c r="F705" s="17" t="s">
        <v>1876</v>
      </c>
      <c r="G705" s="18">
        <v>1</v>
      </c>
      <c r="H705" s="19">
        <v>0</v>
      </c>
      <c r="I705" s="18">
        <v>0</v>
      </c>
      <c r="J705" s="8" t="s">
        <v>100</v>
      </c>
      <c r="K705" s="14">
        <v>3299</v>
      </c>
      <c r="L705" s="14" t="s">
        <v>897</v>
      </c>
      <c r="M705" s="20" t="s">
        <v>237</v>
      </c>
      <c r="N705" s="14" t="s">
        <v>130</v>
      </c>
      <c r="O705" s="12">
        <f t="shared" si="30"/>
        <v>10</v>
      </c>
      <c r="P705" t="str">
        <f t="shared" si="32"/>
        <v>20217645</v>
      </c>
      <c r="Q705">
        <f t="shared" si="31"/>
        <v>1</v>
      </c>
      <c r="R705" s="21"/>
    </row>
    <row r="706" spans="1:18" x14ac:dyDescent="0.3">
      <c r="A706" s="14">
        <v>7447</v>
      </c>
      <c r="B706" s="8" t="s">
        <v>96</v>
      </c>
      <c r="C706" s="15">
        <v>20244984</v>
      </c>
      <c r="D706" s="16">
        <v>8698902449847</v>
      </c>
      <c r="E706" s="14" t="s">
        <v>1877</v>
      </c>
      <c r="F706" s="17" t="s">
        <v>1878</v>
      </c>
      <c r="G706" s="18">
        <v>1</v>
      </c>
      <c r="I706" s="18">
        <v>0</v>
      </c>
      <c r="J706" s="8" t="s">
        <v>100</v>
      </c>
      <c r="K706" s="14">
        <v>14500</v>
      </c>
      <c r="L706" s="14" t="s">
        <v>897</v>
      </c>
      <c r="M706" s="20" t="s">
        <v>237</v>
      </c>
      <c r="N706" s="14" t="s">
        <v>130</v>
      </c>
      <c r="O706" s="12">
        <f t="shared" si="30"/>
        <v>10</v>
      </c>
      <c r="P706" t="str">
        <f t="shared" si="32"/>
        <v>20244984</v>
      </c>
      <c r="Q706">
        <f t="shared" si="31"/>
        <v>1</v>
      </c>
      <c r="R706" s="21"/>
    </row>
    <row r="707" spans="1:18" x14ac:dyDescent="0.3">
      <c r="A707" s="14">
        <v>3904</v>
      </c>
      <c r="B707" s="8" t="s">
        <v>96</v>
      </c>
      <c r="C707" s="15">
        <v>20218413</v>
      </c>
      <c r="E707" s="14" t="s">
        <v>1879</v>
      </c>
      <c r="F707" s="17" t="s">
        <v>1880</v>
      </c>
      <c r="G707" s="18">
        <v>2</v>
      </c>
      <c r="I707" s="18">
        <v>0</v>
      </c>
      <c r="J707" s="8" t="s">
        <v>100</v>
      </c>
      <c r="K707" s="14">
        <v>3399</v>
      </c>
      <c r="L707" s="14" t="s">
        <v>1881</v>
      </c>
      <c r="M707" s="20" t="s">
        <v>1882</v>
      </c>
      <c r="N707" s="14" t="s">
        <v>230</v>
      </c>
      <c r="O707" s="12">
        <f t="shared" ref="O707:O770" si="33">IF(C707&gt;0,10-COUNTIF(AM707:AW707,"-"),"")</f>
        <v>10</v>
      </c>
      <c r="P707" t="str">
        <f t="shared" si="32"/>
        <v>20218413</v>
      </c>
      <c r="Q707">
        <f t="shared" ref="Q707:Q755" si="34">G707-H707</f>
        <v>2</v>
      </c>
      <c r="R707" s="21"/>
    </row>
    <row r="708" spans="1:18" x14ac:dyDescent="0.3">
      <c r="O708" s="12" t="str">
        <f t="shared" si="33"/>
        <v/>
      </c>
      <c r="P708" t="str">
        <f t="shared" ref="P708:P770" si="35">IF(LEFT(C708,2)="SM",CONCATENATE(LEFT(C708,7),"✦",MID(C708,11,1)),LEFT(C708,9))</f>
        <v/>
      </c>
      <c r="Q708">
        <f t="shared" si="34"/>
        <v>0</v>
      </c>
      <c r="R708" s="21"/>
    </row>
    <row r="709" spans="1:18" x14ac:dyDescent="0.3">
      <c r="O709" s="12" t="str">
        <f t="shared" si="33"/>
        <v/>
      </c>
      <c r="P709" t="str">
        <f t="shared" si="35"/>
        <v/>
      </c>
      <c r="Q709">
        <f t="shared" si="34"/>
        <v>0</v>
      </c>
      <c r="R709" s="21"/>
    </row>
    <row r="710" spans="1:18" x14ac:dyDescent="0.3">
      <c r="O710" s="12" t="str">
        <f t="shared" si="33"/>
        <v/>
      </c>
      <c r="P710" t="str">
        <f t="shared" si="35"/>
        <v/>
      </c>
      <c r="Q710">
        <f t="shared" si="34"/>
        <v>0</v>
      </c>
      <c r="R710" s="21"/>
    </row>
    <row r="711" spans="1:18" x14ac:dyDescent="0.3">
      <c r="F711" s="23"/>
      <c r="O711" s="12" t="str">
        <f t="shared" si="33"/>
        <v/>
      </c>
      <c r="P711" t="str">
        <f t="shared" si="35"/>
        <v/>
      </c>
      <c r="Q711">
        <f t="shared" si="34"/>
        <v>0</v>
      </c>
      <c r="R711" s="21"/>
    </row>
    <row r="712" spans="1:18" x14ac:dyDescent="0.3">
      <c r="F712" s="23"/>
      <c r="O712" s="12" t="str">
        <f t="shared" si="33"/>
        <v/>
      </c>
      <c r="P712" t="str">
        <f t="shared" si="35"/>
        <v/>
      </c>
      <c r="Q712">
        <f t="shared" si="34"/>
        <v>0</v>
      </c>
      <c r="R712" s="21"/>
    </row>
    <row r="713" spans="1:18" x14ac:dyDescent="0.3">
      <c r="F713" s="23"/>
      <c r="O713" s="12" t="str">
        <f t="shared" si="33"/>
        <v/>
      </c>
      <c r="P713" t="str">
        <f t="shared" si="35"/>
        <v/>
      </c>
      <c r="Q713">
        <f t="shared" si="34"/>
        <v>0</v>
      </c>
      <c r="R713" s="21"/>
    </row>
    <row r="714" spans="1:18" x14ac:dyDescent="0.3">
      <c r="F714" s="23"/>
      <c r="O714" s="12" t="str">
        <f t="shared" si="33"/>
        <v/>
      </c>
      <c r="P714" t="str">
        <f t="shared" si="35"/>
        <v/>
      </c>
      <c r="Q714">
        <f t="shared" si="34"/>
        <v>0</v>
      </c>
      <c r="R714" s="21"/>
    </row>
    <row r="715" spans="1:18" x14ac:dyDescent="0.3">
      <c r="F715" s="23"/>
      <c r="O715" s="12" t="str">
        <f t="shared" si="33"/>
        <v/>
      </c>
      <c r="P715" t="str">
        <f t="shared" si="35"/>
        <v/>
      </c>
      <c r="Q715">
        <f t="shared" si="34"/>
        <v>0</v>
      </c>
      <c r="R715" s="21"/>
    </row>
    <row r="716" spans="1:18" x14ac:dyDescent="0.3">
      <c r="F716" s="23"/>
      <c r="O716" s="12" t="str">
        <f t="shared" si="33"/>
        <v/>
      </c>
      <c r="P716" t="str">
        <f t="shared" si="35"/>
        <v/>
      </c>
      <c r="Q716">
        <f t="shared" si="34"/>
        <v>0</v>
      </c>
      <c r="R716" s="21"/>
    </row>
    <row r="717" spans="1:18" x14ac:dyDescent="0.3">
      <c r="F717" s="23"/>
      <c r="O717" s="12" t="str">
        <f t="shared" si="33"/>
        <v/>
      </c>
      <c r="P717" t="str">
        <f t="shared" si="35"/>
        <v/>
      </c>
      <c r="Q717">
        <f t="shared" si="34"/>
        <v>0</v>
      </c>
      <c r="R717" s="21"/>
    </row>
    <row r="718" spans="1:18" x14ac:dyDescent="0.3">
      <c r="F718" s="23"/>
      <c r="O718" s="12" t="str">
        <f t="shared" si="33"/>
        <v/>
      </c>
      <c r="P718" t="str">
        <f t="shared" si="35"/>
        <v/>
      </c>
      <c r="Q718">
        <f t="shared" si="34"/>
        <v>0</v>
      </c>
      <c r="R718" s="21"/>
    </row>
    <row r="719" spans="1:18" x14ac:dyDescent="0.3">
      <c r="F719" s="23"/>
      <c r="O719" s="12" t="str">
        <f t="shared" si="33"/>
        <v/>
      </c>
      <c r="P719" t="str">
        <f t="shared" si="35"/>
        <v/>
      </c>
      <c r="Q719">
        <f t="shared" si="34"/>
        <v>0</v>
      </c>
      <c r="R719" s="21"/>
    </row>
    <row r="720" spans="1:18" x14ac:dyDescent="0.3">
      <c r="F720" s="23"/>
      <c r="O720" s="12" t="str">
        <f t="shared" si="33"/>
        <v/>
      </c>
      <c r="P720" t="str">
        <f t="shared" si="35"/>
        <v/>
      </c>
      <c r="Q720">
        <f t="shared" si="34"/>
        <v>0</v>
      </c>
      <c r="R720" s="21"/>
    </row>
    <row r="721" spans="3:18" x14ac:dyDescent="0.3">
      <c r="F721" s="23"/>
      <c r="O721" s="12" t="str">
        <f t="shared" si="33"/>
        <v/>
      </c>
      <c r="P721" t="str">
        <f t="shared" si="35"/>
        <v/>
      </c>
      <c r="Q721">
        <f t="shared" si="34"/>
        <v>0</v>
      </c>
      <c r="R721" s="21"/>
    </row>
    <row r="722" spans="3:18" x14ac:dyDescent="0.3">
      <c r="F722" s="23"/>
      <c r="O722" s="12" t="str">
        <f t="shared" si="33"/>
        <v/>
      </c>
      <c r="P722" t="str">
        <f t="shared" si="35"/>
        <v/>
      </c>
      <c r="Q722">
        <f t="shared" si="34"/>
        <v>0</v>
      </c>
      <c r="R722" s="21"/>
    </row>
    <row r="723" spans="3:18" x14ac:dyDescent="0.3">
      <c r="F723" s="23"/>
      <c r="O723" s="12" t="str">
        <f t="shared" si="33"/>
        <v/>
      </c>
      <c r="P723" t="str">
        <f t="shared" si="35"/>
        <v/>
      </c>
      <c r="Q723">
        <f t="shared" si="34"/>
        <v>0</v>
      </c>
      <c r="R723" s="21"/>
    </row>
    <row r="724" spans="3:18" x14ac:dyDescent="0.3">
      <c r="F724" s="23"/>
      <c r="O724" s="12" t="str">
        <f t="shared" si="33"/>
        <v/>
      </c>
      <c r="P724" t="str">
        <f t="shared" si="35"/>
        <v/>
      </c>
      <c r="Q724">
        <f t="shared" si="34"/>
        <v>0</v>
      </c>
      <c r="R724" s="21"/>
    </row>
    <row r="725" spans="3:18" x14ac:dyDescent="0.3">
      <c r="C725" s="24"/>
      <c r="F725" s="23"/>
      <c r="O725" s="12" t="str">
        <f t="shared" si="33"/>
        <v/>
      </c>
      <c r="P725" t="str">
        <f t="shared" si="35"/>
        <v/>
      </c>
      <c r="Q725">
        <f t="shared" si="34"/>
        <v>0</v>
      </c>
      <c r="R725" s="21"/>
    </row>
    <row r="726" spans="3:18" x14ac:dyDescent="0.3">
      <c r="C726" s="24"/>
      <c r="F726" s="23"/>
      <c r="O726" s="12" t="str">
        <f t="shared" si="33"/>
        <v/>
      </c>
      <c r="P726" t="str">
        <f t="shared" si="35"/>
        <v/>
      </c>
      <c r="Q726">
        <f t="shared" si="34"/>
        <v>0</v>
      </c>
      <c r="R726" s="21"/>
    </row>
    <row r="727" spans="3:18" x14ac:dyDescent="0.3">
      <c r="C727" s="24"/>
      <c r="F727" s="23"/>
      <c r="O727" s="12" t="str">
        <f t="shared" si="33"/>
        <v/>
      </c>
      <c r="P727" t="str">
        <f t="shared" si="35"/>
        <v/>
      </c>
      <c r="Q727">
        <f t="shared" si="34"/>
        <v>0</v>
      </c>
      <c r="R727" s="21"/>
    </row>
    <row r="728" spans="3:18" x14ac:dyDescent="0.3">
      <c r="C728" s="24"/>
      <c r="F728" s="23"/>
      <c r="O728" s="12" t="str">
        <f t="shared" si="33"/>
        <v/>
      </c>
      <c r="P728" t="str">
        <f t="shared" si="35"/>
        <v/>
      </c>
      <c r="Q728">
        <f t="shared" si="34"/>
        <v>0</v>
      </c>
      <c r="R728" s="21"/>
    </row>
    <row r="729" spans="3:18" x14ac:dyDescent="0.3">
      <c r="C729" s="24"/>
      <c r="F729" s="23"/>
      <c r="O729" s="12" t="str">
        <f t="shared" si="33"/>
        <v/>
      </c>
      <c r="P729" t="str">
        <f t="shared" si="35"/>
        <v/>
      </c>
      <c r="Q729">
        <f t="shared" si="34"/>
        <v>0</v>
      </c>
      <c r="R729" s="21"/>
    </row>
    <row r="730" spans="3:18" x14ac:dyDescent="0.3">
      <c r="C730" s="24"/>
      <c r="F730" s="23"/>
      <c r="O730" s="12" t="str">
        <f t="shared" si="33"/>
        <v/>
      </c>
      <c r="P730" t="str">
        <f t="shared" si="35"/>
        <v/>
      </c>
      <c r="Q730">
        <f t="shared" si="34"/>
        <v>0</v>
      </c>
      <c r="R730" s="21"/>
    </row>
    <row r="731" spans="3:18" x14ac:dyDescent="0.3">
      <c r="C731" s="24"/>
      <c r="F731" s="23"/>
      <c r="O731" s="12" t="str">
        <f t="shared" si="33"/>
        <v/>
      </c>
      <c r="P731" t="str">
        <f t="shared" si="35"/>
        <v/>
      </c>
      <c r="Q731">
        <f t="shared" si="34"/>
        <v>0</v>
      </c>
      <c r="R731" s="21"/>
    </row>
    <row r="732" spans="3:18" x14ac:dyDescent="0.3">
      <c r="C732" s="24"/>
      <c r="F732" s="23"/>
      <c r="O732" s="12" t="str">
        <f t="shared" si="33"/>
        <v/>
      </c>
      <c r="P732" t="str">
        <f t="shared" si="35"/>
        <v/>
      </c>
      <c r="Q732">
        <f t="shared" si="34"/>
        <v>0</v>
      </c>
      <c r="R732" s="21"/>
    </row>
    <row r="733" spans="3:18" x14ac:dyDescent="0.3">
      <c r="C733" s="24"/>
      <c r="F733" s="23"/>
      <c r="O733" s="12" t="str">
        <f t="shared" si="33"/>
        <v/>
      </c>
      <c r="P733" t="str">
        <f t="shared" si="35"/>
        <v/>
      </c>
      <c r="Q733">
        <f t="shared" si="34"/>
        <v>0</v>
      </c>
      <c r="R733" s="21"/>
    </row>
    <row r="734" spans="3:18" x14ac:dyDescent="0.3">
      <c r="C734" s="24"/>
      <c r="F734" s="23"/>
      <c r="O734" s="12" t="str">
        <f t="shared" si="33"/>
        <v/>
      </c>
      <c r="P734" t="str">
        <f t="shared" si="35"/>
        <v/>
      </c>
      <c r="Q734">
        <f t="shared" si="34"/>
        <v>0</v>
      </c>
      <c r="R734" s="21"/>
    </row>
    <row r="735" spans="3:18" x14ac:dyDescent="0.3">
      <c r="C735" s="24"/>
      <c r="F735" s="23"/>
      <c r="O735" s="12" t="str">
        <f t="shared" si="33"/>
        <v/>
      </c>
      <c r="P735" t="str">
        <f t="shared" si="35"/>
        <v/>
      </c>
      <c r="Q735">
        <f t="shared" si="34"/>
        <v>0</v>
      </c>
      <c r="R735" s="21"/>
    </row>
    <row r="736" spans="3:18" x14ac:dyDescent="0.3">
      <c r="C736" s="24"/>
      <c r="F736" s="23"/>
      <c r="O736" s="12" t="str">
        <f t="shared" si="33"/>
        <v/>
      </c>
      <c r="P736" t="str">
        <f t="shared" si="35"/>
        <v/>
      </c>
      <c r="Q736">
        <f t="shared" si="34"/>
        <v>0</v>
      </c>
      <c r="R736" s="21"/>
    </row>
    <row r="737" spans="3:18" x14ac:dyDescent="0.3">
      <c r="C737" s="24"/>
      <c r="F737" s="23"/>
      <c r="O737" s="12" t="str">
        <f t="shared" si="33"/>
        <v/>
      </c>
      <c r="P737" t="str">
        <f t="shared" si="35"/>
        <v/>
      </c>
      <c r="Q737">
        <f t="shared" si="34"/>
        <v>0</v>
      </c>
      <c r="R737" s="21"/>
    </row>
    <row r="738" spans="3:18" x14ac:dyDescent="0.3">
      <c r="C738" s="24"/>
      <c r="F738" s="23"/>
      <c r="O738" s="12" t="str">
        <f t="shared" si="33"/>
        <v/>
      </c>
      <c r="P738" t="str">
        <f t="shared" si="35"/>
        <v/>
      </c>
      <c r="Q738">
        <f t="shared" si="34"/>
        <v>0</v>
      </c>
      <c r="R738" s="21"/>
    </row>
    <row r="739" spans="3:18" x14ac:dyDescent="0.3">
      <c r="C739" s="24"/>
      <c r="F739" s="23"/>
      <c r="O739" s="12" t="str">
        <f t="shared" si="33"/>
        <v/>
      </c>
      <c r="P739" t="str">
        <f t="shared" si="35"/>
        <v/>
      </c>
      <c r="Q739">
        <f t="shared" si="34"/>
        <v>0</v>
      </c>
      <c r="R739" s="21"/>
    </row>
    <row r="740" spans="3:18" x14ac:dyDescent="0.3">
      <c r="C740" s="24"/>
      <c r="F740" s="23"/>
      <c r="O740" s="12" t="str">
        <f t="shared" si="33"/>
        <v/>
      </c>
      <c r="P740" t="str">
        <f t="shared" si="35"/>
        <v/>
      </c>
      <c r="Q740">
        <f t="shared" si="34"/>
        <v>0</v>
      </c>
      <c r="R740" s="21"/>
    </row>
    <row r="741" spans="3:18" x14ac:dyDescent="0.3">
      <c r="C741" s="24"/>
      <c r="F741" s="23"/>
      <c r="O741" s="12" t="str">
        <f t="shared" si="33"/>
        <v/>
      </c>
      <c r="P741" t="str">
        <f t="shared" si="35"/>
        <v/>
      </c>
      <c r="Q741">
        <f t="shared" si="34"/>
        <v>0</v>
      </c>
      <c r="R741" s="21"/>
    </row>
    <row r="742" spans="3:18" x14ac:dyDescent="0.3">
      <c r="C742" s="24"/>
      <c r="F742" s="23"/>
      <c r="O742" s="12" t="str">
        <f t="shared" si="33"/>
        <v/>
      </c>
      <c r="P742" t="str">
        <f t="shared" si="35"/>
        <v/>
      </c>
      <c r="Q742">
        <f t="shared" si="34"/>
        <v>0</v>
      </c>
      <c r="R742" s="21"/>
    </row>
    <row r="743" spans="3:18" x14ac:dyDescent="0.3">
      <c r="C743" s="24"/>
      <c r="F743" s="23"/>
      <c r="O743" s="12" t="str">
        <f t="shared" si="33"/>
        <v/>
      </c>
      <c r="P743" t="str">
        <f t="shared" si="35"/>
        <v/>
      </c>
      <c r="Q743">
        <f t="shared" si="34"/>
        <v>0</v>
      </c>
      <c r="R743" s="21"/>
    </row>
    <row r="744" spans="3:18" x14ac:dyDescent="0.3">
      <c r="C744" s="24"/>
      <c r="F744" s="23"/>
      <c r="O744" s="12" t="str">
        <f t="shared" si="33"/>
        <v/>
      </c>
      <c r="P744" t="str">
        <f t="shared" si="35"/>
        <v/>
      </c>
      <c r="Q744">
        <f t="shared" si="34"/>
        <v>0</v>
      </c>
      <c r="R744" s="21"/>
    </row>
    <row r="745" spans="3:18" x14ac:dyDescent="0.3">
      <c r="C745" s="24"/>
      <c r="F745" s="23"/>
      <c r="O745" s="12" t="str">
        <f t="shared" si="33"/>
        <v/>
      </c>
      <c r="P745" t="str">
        <f t="shared" si="35"/>
        <v/>
      </c>
      <c r="Q745">
        <f t="shared" si="34"/>
        <v>0</v>
      </c>
      <c r="R745" s="21"/>
    </row>
    <row r="746" spans="3:18" x14ac:dyDescent="0.3">
      <c r="C746" s="24"/>
      <c r="F746" s="23"/>
      <c r="O746" s="12" t="str">
        <f t="shared" si="33"/>
        <v/>
      </c>
      <c r="P746" t="str">
        <f t="shared" si="35"/>
        <v/>
      </c>
      <c r="Q746">
        <f t="shared" si="34"/>
        <v>0</v>
      </c>
      <c r="R746" s="21"/>
    </row>
    <row r="747" spans="3:18" x14ac:dyDescent="0.3">
      <c r="C747" s="24"/>
      <c r="F747" s="23"/>
      <c r="O747" s="12" t="str">
        <f t="shared" si="33"/>
        <v/>
      </c>
      <c r="P747" t="str">
        <f t="shared" si="35"/>
        <v/>
      </c>
      <c r="Q747">
        <f t="shared" si="34"/>
        <v>0</v>
      </c>
      <c r="R747" s="21"/>
    </row>
    <row r="748" spans="3:18" x14ac:dyDescent="0.3">
      <c r="C748" s="24"/>
      <c r="F748" s="23"/>
      <c r="O748" s="12" t="str">
        <f t="shared" si="33"/>
        <v/>
      </c>
      <c r="P748" t="str">
        <f t="shared" si="35"/>
        <v/>
      </c>
      <c r="Q748">
        <f t="shared" si="34"/>
        <v>0</v>
      </c>
      <c r="R748" s="21"/>
    </row>
    <row r="749" spans="3:18" x14ac:dyDescent="0.3">
      <c r="C749" s="24"/>
      <c r="F749" s="23"/>
      <c r="O749" s="12" t="str">
        <f t="shared" si="33"/>
        <v/>
      </c>
      <c r="P749" t="str">
        <f t="shared" si="35"/>
        <v/>
      </c>
      <c r="Q749">
        <f t="shared" si="34"/>
        <v>0</v>
      </c>
      <c r="R749" s="21"/>
    </row>
    <row r="750" spans="3:18" x14ac:dyDescent="0.3">
      <c r="C750" s="24"/>
      <c r="F750" s="23"/>
      <c r="O750" s="12" t="str">
        <f t="shared" si="33"/>
        <v/>
      </c>
      <c r="P750" t="str">
        <f t="shared" si="35"/>
        <v/>
      </c>
      <c r="Q750">
        <f t="shared" si="34"/>
        <v>0</v>
      </c>
      <c r="R750" s="21"/>
    </row>
    <row r="751" spans="3:18" x14ac:dyDescent="0.3">
      <c r="C751" s="24"/>
      <c r="F751" s="23"/>
      <c r="O751" s="12" t="str">
        <f t="shared" si="33"/>
        <v/>
      </c>
      <c r="P751" t="str">
        <f t="shared" si="35"/>
        <v/>
      </c>
      <c r="Q751">
        <f t="shared" si="34"/>
        <v>0</v>
      </c>
      <c r="R751" s="21"/>
    </row>
    <row r="752" spans="3:18" x14ac:dyDescent="0.3">
      <c r="C752" s="24"/>
      <c r="F752" s="23"/>
      <c r="O752" s="12" t="str">
        <f t="shared" si="33"/>
        <v/>
      </c>
      <c r="P752" t="str">
        <f t="shared" si="35"/>
        <v/>
      </c>
      <c r="Q752">
        <f t="shared" si="34"/>
        <v>0</v>
      </c>
      <c r="R752" s="21"/>
    </row>
    <row r="753" spans="3:18" x14ac:dyDescent="0.3">
      <c r="C753" s="24"/>
      <c r="F753" s="23"/>
      <c r="O753" s="12" t="str">
        <f t="shared" si="33"/>
        <v/>
      </c>
      <c r="P753" t="str">
        <f t="shared" si="35"/>
        <v/>
      </c>
      <c r="Q753">
        <f t="shared" si="34"/>
        <v>0</v>
      </c>
      <c r="R753" s="21"/>
    </row>
    <row r="754" spans="3:18" x14ac:dyDescent="0.3">
      <c r="C754" s="24"/>
      <c r="F754" s="23"/>
      <c r="O754" s="12" t="str">
        <f t="shared" si="33"/>
        <v/>
      </c>
      <c r="P754" t="str">
        <f t="shared" si="35"/>
        <v/>
      </c>
      <c r="Q754">
        <f t="shared" si="34"/>
        <v>0</v>
      </c>
      <c r="R754" s="21"/>
    </row>
    <row r="755" spans="3:18" x14ac:dyDescent="0.3">
      <c r="C755" s="24"/>
      <c r="F755" s="23"/>
      <c r="O755" s="12" t="str">
        <f t="shared" si="33"/>
        <v/>
      </c>
      <c r="P755" t="str">
        <f t="shared" si="35"/>
        <v/>
      </c>
      <c r="Q755">
        <f t="shared" si="34"/>
        <v>0</v>
      </c>
      <c r="R755" s="21"/>
    </row>
    <row r="756" spans="3:18" x14ac:dyDescent="0.3">
      <c r="C756" s="24"/>
      <c r="F756" s="23"/>
      <c r="O756" s="12" t="str">
        <f t="shared" si="33"/>
        <v/>
      </c>
      <c r="P756" t="str">
        <f t="shared" si="35"/>
        <v/>
      </c>
      <c r="R756" s="21"/>
    </row>
    <row r="757" spans="3:18" x14ac:dyDescent="0.3">
      <c r="C757" s="24"/>
      <c r="F757" s="23"/>
      <c r="O757" s="12" t="str">
        <f t="shared" si="33"/>
        <v/>
      </c>
      <c r="P757" t="str">
        <f t="shared" si="35"/>
        <v/>
      </c>
      <c r="R757" s="21"/>
    </row>
    <row r="758" spans="3:18" x14ac:dyDescent="0.3">
      <c r="C758" s="24"/>
      <c r="F758" s="23"/>
      <c r="O758" s="12" t="str">
        <f t="shared" si="33"/>
        <v/>
      </c>
      <c r="P758" t="str">
        <f t="shared" si="35"/>
        <v/>
      </c>
      <c r="R758" s="21"/>
    </row>
    <row r="759" spans="3:18" x14ac:dyDescent="0.3">
      <c r="C759" s="24"/>
      <c r="F759" s="23"/>
      <c r="O759" s="12" t="str">
        <f t="shared" si="33"/>
        <v/>
      </c>
      <c r="P759" t="str">
        <f t="shared" si="35"/>
        <v/>
      </c>
      <c r="R759" s="21"/>
    </row>
    <row r="760" spans="3:18" x14ac:dyDescent="0.3">
      <c r="C760" s="24"/>
      <c r="F760" s="23"/>
      <c r="O760" s="12" t="str">
        <f t="shared" si="33"/>
        <v/>
      </c>
      <c r="P760" t="str">
        <f t="shared" si="35"/>
        <v/>
      </c>
      <c r="R760" s="21"/>
    </row>
    <row r="761" spans="3:18" x14ac:dyDescent="0.3">
      <c r="C761" s="24"/>
      <c r="F761" s="23"/>
      <c r="O761" s="12" t="str">
        <f t="shared" si="33"/>
        <v/>
      </c>
      <c r="P761" t="str">
        <f t="shared" si="35"/>
        <v/>
      </c>
      <c r="R761" s="21"/>
    </row>
    <row r="762" spans="3:18" x14ac:dyDescent="0.3">
      <c r="C762" s="24"/>
      <c r="F762" s="23"/>
      <c r="O762" s="12" t="str">
        <f t="shared" si="33"/>
        <v/>
      </c>
      <c r="P762" t="str">
        <f t="shared" si="35"/>
        <v/>
      </c>
      <c r="R762" s="21"/>
    </row>
    <row r="763" spans="3:18" x14ac:dyDescent="0.3">
      <c r="C763" s="24"/>
      <c r="F763" s="23"/>
      <c r="O763" s="12" t="str">
        <f t="shared" si="33"/>
        <v/>
      </c>
      <c r="P763" t="str">
        <f t="shared" si="35"/>
        <v/>
      </c>
      <c r="R763" s="21"/>
    </row>
    <row r="764" spans="3:18" x14ac:dyDescent="0.3">
      <c r="C764" s="24"/>
      <c r="F764" s="23"/>
      <c r="O764" s="12" t="str">
        <f t="shared" si="33"/>
        <v/>
      </c>
      <c r="P764" t="str">
        <f t="shared" si="35"/>
        <v/>
      </c>
      <c r="R764" s="21"/>
    </row>
    <row r="765" spans="3:18" x14ac:dyDescent="0.3">
      <c r="C765" s="24"/>
      <c r="F765" s="23"/>
      <c r="O765" s="12" t="str">
        <f t="shared" si="33"/>
        <v/>
      </c>
      <c r="P765" t="str">
        <f t="shared" si="35"/>
        <v/>
      </c>
      <c r="R765" s="21"/>
    </row>
    <row r="766" spans="3:18" x14ac:dyDescent="0.3">
      <c r="C766" s="24"/>
      <c r="F766" s="23"/>
      <c r="O766" s="12" t="str">
        <f t="shared" si="33"/>
        <v/>
      </c>
      <c r="P766" t="str">
        <f t="shared" si="35"/>
        <v/>
      </c>
      <c r="R766" s="21"/>
    </row>
    <row r="767" spans="3:18" x14ac:dyDescent="0.3">
      <c r="C767" s="24"/>
      <c r="F767" s="23"/>
      <c r="O767" s="12" t="str">
        <f t="shared" si="33"/>
        <v/>
      </c>
      <c r="P767" t="str">
        <f t="shared" si="35"/>
        <v/>
      </c>
      <c r="R767" s="21"/>
    </row>
    <row r="768" spans="3:18" x14ac:dyDescent="0.3">
      <c r="C768" s="24"/>
      <c r="F768" s="23"/>
      <c r="O768" s="12" t="str">
        <f t="shared" si="33"/>
        <v/>
      </c>
      <c r="P768" t="str">
        <f t="shared" si="35"/>
        <v/>
      </c>
      <c r="R768" s="21"/>
    </row>
    <row r="769" spans="3:18" x14ac:dyDescent="0.3">
      <c r="C769" s="24"/>
      <c r="F769" s="23"/>
      <c r="O769" s="12" t="str">
        <f t="shared" si="33"/>
        <v/>
      </c>
      <c r="P769" t="str">
        <f t="shared" si="35"/>
        <v/>
      </c>
      <c r="R769" s="21"/>
    </row>
    <row r="770" spans="3:18" x14ac:dyDescent="0.3">
      <c r="C770" s="24"/>
      <c r="F770" s="23"/>
      <c r="O770" s="12" t="str">
        <f t="shared" si="33"/>
        <v/>
      </c>
      <c r="P770" t="str">
        <f t="shared" si="35"/>
        <v/>
      </c>
      <c r="R770" s="21"/>
    </row>
    <row r="771" spans="3:18" x14ac:dyDescent="0.3">
      <c r="C771" s="24"/>
      <c r="F771" s="23"/>
      <c r="R771" s="21"/>
    </row>
    <row r="772" spans="3:18" x14ac:dyDescent="0.3">
      <c r="C772" s="24"/>
      <c r="F772" s="23"/>
      <c r="R772" s="21"/>
    </row>
    <row r="773" spans="3:18" x14ac:dyDescent="0.3">
      <c r="C773" s="24"/>
      <c r="F773" s="23"/>
      <c r="R773" s="21"/>
    </row>
    <row r="774" spans="3:18" x14ac:dyDescent="0.3">
      <c r="C774" s="24"/>
      <c r="F774" s="23"/>
      <c r="R774" s="21"/>
    </row>
    <row r="775" spans="3:18" x14ac:dyDescent="0.3">
      <c r="C775" s="24"/>
      <c r="F775" s="23"/>
      <c r="R775" s="21"/>
    </row>
    <row r="776" spans="3:18" x14ac:dyDescent="0.3">
      <c r="C776" s="24"/>
      <c r="F776" s="23"/>
      <c r="R776" s="21"/>
    </row>
    <row r="777" spans="3:18" x14ac:dyDescent="0.3">
      <c r="C777" s="24"/>
      <c r="F777" s="23"/>
      <c r="R777" s="21"/>
    </row>
    <row r="778" spans="3:18" x14ac:dyDescent="0.3">
      <c r="C778" s="24"/>
      <c r="F778" s="23"/>
      <c r="R778" s="21"/>
    </row>
    <row r="779" spans="3:18" x14ac:dyDescent="0.3">
      <c r="C779" s="24"/>
      <c r="F779" s="23"/>
      <c r="R779" s="21"/>
    </row>
    <row r="780" spans="3:18" x14ac:dyDescent="0.3">
      <c r="C780" s="24"/>
      <c r="F780" s="23"/>
      <c r="R780" s="21"/>
    </row>
    <row r="781" spans="3:18" x14ac:dyDescent="0.3">
      <c r="C781" s="24"/>
      <c r="F781" s="23"/>
      <c r="R781" s="21"/>
    </row>
    <row r="782" spans="3:18" x14ac:dyDescent="0.3">
      <c r="C782" s="24"/>
      <c r="F782" s="23"/>
      <c r="R782" s="21"/>
    </row>
    <row r="783" spans="3:18" x14ac:dyDescent="0.3">
      <c r="C783" s="24"/>
      <c r="F783" s="23"/>
      <c r="R783" s="21"/>
    </row>
    <row r="784" spans="3:18" x14ac:dyDescent="0.3">
      <c r="C784" s="24"/>
      <c r="F784" s="23"/>
      <c r="R784" s="21"/>
    </row>
    <row r="785" spans="3:18" x14ac:dyDescent="0.3">
      <c r="C785" s="24"/>
      <c r="F785" s="23"/>
      <c r="R785" s="21"/>
    </row>
    <row r="786" spans="3:18" x14ac:dyDescent="0.3">
      <c r="C786" s="24"/>
      <c r="F786" s="23"/>
      <c r="R786" s="21"/>
    </row>
    <row r="787" spans="3:18" x14ac:dyDescent="0.3">
      <c r="C787" s="24"/>
      <c r="F787" s="23"/>
      <c r="R787" s="21"/>
    </row>
    <row r="788" spans="3:18" x14ac:dyDescent="0.3">
      <c r="C788" s="24"/>
      <c r="F788" s="23"/>
      <c r="R788" s="21"/>
    </row>
    <row r="789" spans="3:18" x14ac:dyDescent="0.3">
      <c r="C789" s="24"/>
      <c r="F789" s="23"/>
      <c r="R789" s="21"/>
    </row>
    <row r="790" spans="3:18" x14ac:dyDescent="0.3">
      <c r="C790" s="24"/>
      <c r="F790" s="23"/>
      <c r="R790" s="21"/>
    </row>
    <row r="791" spans="3:18" x14ac:dyDescent="0.3">
      <c r="C791" s="24"/>
      <c r="F791" s="23"/>
      <c r="R791" s="21"/>
    </row>
    <row r="792" spans="3:18" x14ac:dyDescent="0.3">
      <c r="C792" s="24"/>
      <c r="F792" s="23"/>
      <c r="R792" s="21"/>
    </row>
    <row r="793" spans="3:18" x14ac:dyDescent="0.3">
      <c r="C793" s="24"/>
      <c r="F793" s="23"/>
      <c r="R793" s="21"/>
    </row>
    <row r="794" spans="3:18" x14ac:dyDescent="0.3">
      <c r="C794" s="24"/>
      <c r="F794" s="23"/>
      <c r="R794" s="21"/>
    </row>
    <row r="795" spans="3:18" x14ac:dyDescent="0.3">
      <c r="C795" s="24"/>
      <c r="F795" s="23"/>
      <c r="R795" s="21"/>
    </row>
    <row r="796" spans="3:18" x14ac:dyDescent="0.3">
      <c r="C796" s="24"/>
      <c r="F796" s="23"/>
      <c r="R796" s="21"/>
    </row>
    <row r="797" spans="3:18" x14ac:dyDescent="0.3">
      <c r="C797" s="24"/>
      <c r="F797" s="23"/>
      <c r="R797" s="21"/>
    </row>
    <row r="798" spans="3:18" x14ac:dyDescent="0.3">
      <c r="C798" s="24"/>
      <c r="F798" s="23"/>
      <c r="R798" s="21"/>
    </row>
    <row r="799" spans="3:18" x14ac:dyDescent="0.3">
      <c r="C799" s="24"/>
      <c r="F799" s="23"/>
      <c r="R799" s="21"/>
    </row>
    <row r="800" spans="3:18" x14ac:dyDescent="0.3">
      <c r="C800" s="24"/>
      <c r="F800" s="23"/>
      <c r="R800" s="21"/>
    </row>
    <row r="801" spans="3:18" x14ac:dyDescent="0.3">
      <c r="C801" s="24"/>
      <c r="F801" s="23"/>
      <c r="R801" s="21"/>
    </row>
    <row r="802" spans="3:18" x14ac:dyDescent="0.3">
      <c r="C802" s="24"/>
      <c r="F802" s="23"/>
      <c r="R802" s="21"/>
    </row>
    <row r="803" spans="3:18" x14ac:dyDescent="0.3">
      <c r="C803" s="24"/>
      <c r="F803" s="23"/>
      <c r="R803" s="21"/>
    </row>
    <row r="804" spans="3:18" x14ac:dyDescent="0.3">
      <c r="C804" s="24"/>
      <c r="F804" s="23"/>
      <c r="R804" s="21"/>
    </row>
    <row r="805" spans="3:18" x14ac:dyDescent="0.3">
      <c r="C805" s="24"/>
      <c r="F805" s="23"/>
      <c r="R805" s="21"/>
    </row>
    <row r="806" spans="3:18" x14ac:dyDescent="0.3">
      <c r="C806" s="24"/>
      <c r="F806" s="23"/>
      <c r="R806" s="21"/>
    </row>
    <row r="807" spans="3:18" x14ac:dyDescent="0.3">
      <c r="C807" s="24"/>
      <c r="F807" s="23"/>
      <c r="R807" s="21"/>
    </row>
    <row r="808" spans="3:18" x14ac:dyDescent="0.3">
      <c r="C808" s="24"/>
      <c r="F808" s="23"/>
      <c r="R808" s="21"/>
    </row>
    <row r="809" spans="3:18" x14ac:dyDescent="0.3">
      <c r="C809" s="24"/>
      <c r="F809" s="23"/>
      <c r="R809" s="21"/>
    </row>
    <row r="810" spans="3:18" x14ac:dyDescent="0.3">
      <c r="C810" s="24"/>
      <c r="F810" s="23"/>
      <c r="R810" s="21"/>
    </row>
    <row r="811" spans="3:18" x14ac:dyDescent="0.3">
      <c r="C811" s="24"/>
      <c r="F811" s="23"/>
      <c r="R811" s="21"/>
    </row>
    <row r="812" spans="3:18" x14ac:dyDescent="0.3">
      <c r="C812" s="24"/>
      <c r="F812" s="23"/>
      <c r="R812" s="21"/>
    </row>
    <row r="813" spans="3:18" x14ac:dyDescent="0.3">
      <c r="C813" s="24"/>
      <c r="F813" s="23"/>
      <c r="R813" s="21"/>
    </row>
    <row r="814" spans="3:18" x14ac:dyDescent="0.3">
      <c r="C814" s="24"/>
      <c r="F814" s="23"/>
      <c r="R814" s="21"/>
    </row>
    <row r="815" spans="3:18" x14ac:dyDescent="0.3">
      <c r="C815" s="24"/>
      <c r="F815" s="23"/>
      <c r="R815" s="21"/>
    </row>
    <row r="816" spans="3:18" x14ac:dyDescent="0.3">
      <c r="C816" s="24"/>
      <c r="F816" s="23"/>
      <c r="R816" s="21"/>
    </row>
    <row r="817" spans="3:18" x14ac:dyDescent="0.3">
      <c r="C817" s="24"/>
      <c r="F817" s="23"/>
      <c r="R817" s="21"/>
    </row>
    <row r="818" spans="3:18" x14ac:dyDescent="0.3">
      <c r="C818" s="24"/>
      <c r="F818" s="23"/>
      <c r="R818" s="21"/>
    </row>
    <row r="819" spans="3:18" x14ac:dyDescent="0.3">
      <c r="C819" s="24"/>
      <c r="F819" s="23"/>
      <c r="R819" s="21"/>
    </row>
    <row r="820" spans="3:18" x14ac:dyDescent="0.3">
      <c r="C820" s="24"/>
      <c r="F820" s="23"/>
      <c r="R820" s="21"/>
    </row>
    <row r="821" spans="3:18" x14ac:dyDescent="0.3">
      <c r="C821" s="24"/>
      <c r="F821" s="23"/>
      <c r="R821" s="21"/>
    </row>
    <row r="822" spans="3:18" x14ac:dyDescent="0.3">
      <c r="C822" s="24"/>
      <c r="F822" s="23"/>
      <c r="R822" s="21"/>
    </row>
    <row r="823" spans="3:18" x14ac:dyDescent="0.3">
      <c r="C823" s="24"/>
      <c r="F823" s="23"/>
      <c r="R823" s="21"/>
    </row>
    <row r="824" spans="3:18" x14ac:dyDescent="0.3">
      <c r="C824" s="24"/>
      <c r="F824" s="23"/>
      <c r="R824" s="21"/>
    </row>
    <row r="825" spans="3:18" x14ac:dyDescent="0.3">
      <c r="C825" s="24"/>
      <c r="F825" s="23"/>
      <c r="R825" s="21"/>
    </row>
    <row r="826" spans="3:18" x14ac:dyDescent="0.3">
      <c r="C826" s="24"/>
      <c r="F826" s="23"/>
      <c r="R826" s="21"/>
    </row>
    <row r="827" spans="3:18" x14ac:dyDescent="0.3">
      <c r="C827" s="24"/>
      <c r="F827" s="23"/>
      <c r="R827" s="21"/>
    </row>
    <row r="828" spans="3:18" x14ac:dyDescent="0.3">
      <c r="C828" s="24"/>
      <c r="F828" s="23"/>
      <c r="R828" s="21"/>
    </row>
    <row r="829" spans="3:18" x14ac:dyDescent="0.3">
      <c r="C829" s="24"/>
      <c r="F829" s="23"/>
      <c r="R829" s="21"/>
    </row>
    <row r="830" spans="3:18" x14ac:dyDescent="0.3">
      <c r="C830" s="24"/>
      <c r="F830" s="23"/>
      <c r="R830" s="21"/>
    </row>
    <row r="831" spans="3:18" x14ac:dyDescent="0.3">
      <c r="C831" s="24"/>
      <c r="F831" s="23"/>
      <c r="R831" s="21"/>
    </row>
    <row r="832" spans="3:18" x14ac:dyDescent="0.3">
      <c r="C832" s="24"/>
      <c r="F832" s="23"/>
      <c r="R832" s="21"/>
    </row>
    <row r="833" spans="3:18" x14ac:dyDescent="0.3">
      <c r="C833" s="24"/>
      <c r="F833" s="23"/>
      <c r="R833" s="21"/>
    </row>
    <row r="834" spans="3:18" x14ac:dyDescent="0.3">
      <c r="C834" s="24"/>
      <c r="F834" s="23"/>
      <c r="R834" s="21"/>
    </row>
    <row r="835" spans="3:18" x14ac:dyDescent="0.3">
      <c r="C835" s="24"/>
      <c r="F835" s="23"/>
      <c r="R835" s="21"/>
    </row>
    <row r="836" spans="3:18" x14ac:dyDescent="0.3">
      <c r="C836" s="24"/>
      <c r="F836" s="23"/>
      <c r="R836" s="21"/>
    </row>
    <row r="837" spans="3:18" x14ac:dyDescent="0.3">
      <c r="C837" s="24"/>
      <c r="F837" s="23"/>
      <c r="R837" s="21"/>
    </row>
    <row r="838" spans="3:18" x14ac:dyDescent="0.3">
      <c r="C838" s="24"/>
      <c r="F838" s="23"/>
      <c r="R838" s="21"/>
    </row>
    <row r="839" spans="3:18" x14ac:dyDescent="0.3">
      <c r="C839" s="24"/>
      <c r="F839" s="23"/>
      <c r="R839" s="21"/>
    </row>
    <row r="840" spans="3:18" x14ac:dyDescent="0.3">
      <c r="C840" s="24"/>
      <c r="F840" s="23"/>
      <c r="R840" s="21"/>
    </row>
    <row r="841" spans="3:18" x14ac:dyDescent="0.3">
      <c r="C841" s="24"/>
      <c r="F841" s="23"/>
      <c r="R841" s="21"/>
    </row>
    <row r="842" spans="3:18" x14ac:dyDescent="0.3">
      <c r="C842" s="24"/>
      <c r="F842" s="23"/>
      <c r="R842" s="21"/>
    </row>
    <row r="843" spans="3:18" x14ac:dyDescent="0.3">
      <c r="C843" s="24"/>
      <c r="F843" s="23"/>
      <c r="R843" s="21"/>
    </row>
    <row r="844" spans="3:18" x14ac:dyDescent="0.3">
      <c r="C844" s="24"/>
      <c r="F844" s="23"/>
      <c r="R844" s="21"/>
    </row>
    <row r="845" spans="3:18" x14ac:dyDescent="0.3">
      <c r="C845" s="24"/>
      <c r="F845" s="23"/>
      <c r="R845" s="21"/>
    </row>
    <row r="846" spans="3:18" x14ac:dyDescent="0.3">
      <c r="C846" s="24"/>
      <c r="F846" s="23"/>
      <c r="R846" s="21"/>
    </row>
    <row r="847" spans="3:18" x14ac:dyDescent="0.3">
      <c r="C847" s="24"/>
      <c r="F847" s="23"/>
      <c r="R847" s="21"/>
    </row>
    <row r="848" spans="3:18" x14ac:dyDescent="0.3">
      <c r="C848" s="24"/>
      <c r="F848" s="23"/>
      <c r="R848" s="21"/>
    </row>
    <row r="849" spans="3:18" x14ac:dyDescent="0.3">
      <c r="C849" s="24"/>
      <c r="F849" s="23"/>
      <c r="R849" s="21"/>
    </row>
    <row r="850" spans="3:18" x14ac:dyDescent="0.3">
      <c r="C850" s="24"/>
      <c r="F850" s="23"/>
      <c r="R850" s="21"/>
    </row>
    <row r="851" spans="3:18" x14ac:dyDescent="0.3">
      <c r="C851" s="24"/>
      <c r="F851" s="23"/>
      <c r="R851" s="21"/>
    </row>
    <row r="852" spans="3:18" x14ac:dyDescent="0.3">
      <c r="C852" s="24"/>
      <c r="F852" s="23"/>
      <c r="R852" s="21"/>
    </row>
    <row r="853" spans="3:18" x14ac:dyDescent="0.3">
      <c r="C853" s="24"/>
      <c r="F853" s="23"/>
      <c r="R853" s="21"/>
    </row>
    <row r="854" spans="3:18" x14ac:dyDescent="0.3">
      <c r="C854" s="24"/>
      <c r="F854" s="23"/>
      <c r="R854" s="21"/>
    </row>
    <row r="855" spans="3:18" x14ac:dyDescent="0.3">
      <c r="R855" s="21"/>
    </row>
    <row r="856" spans="3:18" x14ac:dyDescent="0.3">
      <c r="R856" s="21"/>
    </row>
    <row r="857" spans="3:18" x14ac:dyDescent="0.3">
      <c r="R857" s="21"/>
    </row>
    <row r="858" spans="3:18" x14ac:dyDescent="0.3">
      <c r="R858" s="21"/>
    </row>
    <row r="859" spans="3:18" x14ac:dyDescent="0.3">
      <c r="R859" s="21"/>
    </row>
    <row r="860" spans="3:18" x14ac:dyDescent="0.3">
      <c r="R860" s="21"/>
    </row>
    <row r="861" spans="3:18" x14ac:dyDescent="0.3">
      <c r="R861" s="21"/>
    </row>
    <row r="862" spans="3:18" x14ac:dyDescent="0.3">
      <c r="R862" s="21"/>
    </row>
    <row r="863" spans="3:18" x14ac:dyDescent="0.3">
      <c r="R863" s="21"/>
    </row>
    <row r="864" spans="3:18" x14ac:dyDescent="0.3">
      <c r="R864" s="21"/>
    </row>
    <row r="865" spans="18:18" x14ac:dyDescent="0.3">
      <c r="R865" s="21"/>
    </row>
    <row r="866" spans="18:18" x14ac:dyDescent="0.3">
      <c r="R866" s="21"/>
    </row>
    <row r="867" spans="18:18" x14ac:dyDescent="0.3">
      <c r="R867" s="21"/>
    </row>
    <row r="868" spans="18:18" x14ac:dyDescent="0.3">
      <c r="R868" s="21"/>
    </row>
    <row r="869" spans="18:18" x14ac:dyDescent="0.3">
      <c r="R869" s="21"/>
    </row>
    <row r="870" spans="18:18" x14ac:dyDescent="0.3">
      <c r="R870" s="21"/>
    </row>
    <row r="871" spans="18:18" x14ac:dyDescent="0.3">
      <c r="R871" s="21"/>
    </row>
    <row r="872" spans="18:18" x14ac:dyDescent="0.3">
      <c r="R872" s="21"/>
    </row>
    <row r="873" spans="18:18" x14ac:dyDescent="0.3">
      <c r="R873" s="21"/>
    </row>
    <row r="874" spans="18:18" x14ac:dyDescent="0.3">
      <c r="R874" s="21"/>
    </row>
    <row r="875" spans="18:18" x14ac:dyDescent="0.3">
      <c r="R875" s="21"/>
    </row>
    <row r="876" spans="18:18" x14ac:dyDescent="0.3">
      <c r="R876" s="21"/>
    </row>
    <row r="885" spans="15:17" x14ac:dyDescent="0.3">
      <c r="O885" s="12">
        <f>SUM(O3:O884)</f>
        <v>7050</v>
      </c>
      <c r="Q885">
        <f>SUM(Q3:Q884)</f>
        <v>3392</v>
      </c>
    </row>
  </sheetData>
  <conditionalFormatting sqref="C1:C1048576">
    <cfRule type="duplicateValues" dxfId="2" priority="3"/>
  </conditionalFormatting>
  <conditionalFormatting sqref="G1:I1048576">
    <cfRule type="cellIs" dxfId="1" priority="2" operator="equal">
      <formula>0</formula>
    </cfRule>
  </conditionalFormatting>
  <conditionalFormatting sqref="O3:O770 O877:O1048576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URUNLER</vt:lpstr>
      <vt:lpstr>Kullanicilar</vt:lpstr>
      <vt:lpstr>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Ŧątเђ Aygun</dc:creator>
  <cp:lastModifiedBy>Ŧątเђ Aygun</cp:lastModifiedBy>
  <dcterms:created xsi:type="dcterms:W3CDTF">2025-09-29T14:04:22Z</dcterms:created>
  <dcterms:modified xsi:type="dcterms:W3CDTF">2026-02-22T12:33:16Z</dcterms:modified>
</cp:coreProperties>
</file>